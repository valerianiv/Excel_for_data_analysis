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ra_\OneDrive\Рабочий стол\лабы сдад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10" i="1"/>
  <c r="K7" i="1"/>
  <c r="K6" i="1"/>
  <c r="B15" i="1"/>
  <c r="I12" i="1" l="1"/>
  <c r="K4" i="1"/>
  <c r="K5" i="1"/>
  <c r="K8" i="1"/>
  <c r="K9" i="1"/>
  <c r="K11" i="1"/>
  <c r="K12" i="1"/>
  <c r="I4" i="1"/>
  <c r="I5" i="1"/>
  <c r="I6" i="1"/>
  <c r="I7" i="1"/>
  <c r="I8" i="1"/>
  <c r="I9" i="1"/>
  <c r="I10" i="1"/>
  <c r="I11" i="1"/>
  <c r="I3" i="1"/>
  <c r="G4" i="1"/>
  <c r="G5" i="1"/>
  <c r="G6" i="1"/>
  <c r="G7" i="1"/>
  <c r="G8" i="1"/>
  <c r="G9" i="1"/>
  <c r="G10" i="1"/>
  <c r="G11" i="1"/>
  <c r="G12" i="1"/>
  <c r="G3" i="1"/>
  <c r="E4" i="1"/>
  <c r="E5" i="1"/>
  <c r="E6" i="1"/>
  <c r="E7" i="1"/>
  <c r="E8" i="1"/>
  <c r="E9" i="1"/>
  <c r="E10" i="1"/>
  <c r="E11" i="1"/>
  <c r="E12" i="1"/>
  <c r="E3" i="1"/>
  <c r="C4" i="1"/>
  <c r="C5" i="1"/>
  <c r="C6" i="1"/>
  <c r="C7" i="1"/>
  <c r="C8" i="1"/>
  <c r="C9" i="1"/>
  <c r="C10" i="1"/>
  <c r="C11" i="1"/>
  <c r="C12" i="1"/>
  <c r="C3" i="1"/>
  <c r="B14" i="1"/>
</calcChain>
</file>

<file path=xl/sharedStrings.xml><?xml version="1.0" encoding="utf-8"?>
<sst xmlns="http://schemas.openxmlformats.org/spreadsheetml/2006/main" count="10" uniqueCount="10">
  <si>
    <t>Вариант 1</t>
  </si>
  <si>
    <t>Наблюдение</t>
  </si>
  <si>
    <t>Нормальное распределение</t>
  </si>
  <si>
    <t>Стандартное нормальное</t>
  </si>
  <si>
    <t>Хи-квадрат</t>
  </si>
  <si>
    <t>Стьюдент</t>
  </si>
  <si>
    <t>Фишер</t>
  </si>
  <si>
    <t xml:space="preserve">Среднее значение </t>
  </si>
  <si>
    <t>Стандартное отклонение</t>
  </si>
  <si>
    <t>Степень свободы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</si>
</sst>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M8" sqref="M8"/>
    </sheetView>
  </sheetViews>
  <sheetFormatPr defaultRowHeight="14.4" x14ac:dyDescent="0.3"/>
  <cols>
    <col min="1" max="1" width="23.109375" bestFit="1" customWidth="1"/>
    <col min="2" max="2" width="25.88671875" bestFit="1" customWidth="1"/>
    <col min="3" max="3" width="12.6640625" style="1" customWidth="1"/>
    <col min="4" max="4" width="23.5546875" bestFit="1" customWidth="1"/>
    <col min="5" max="5" width="14.109375" style="1" customWidth="1"/>
    <col min="6" max="6" width="16.109375" bestFit="1" customWidth="1"/>
    <col min="7" max="7" width="12.33203125" style="1" customWidth="1"/>
    <col min="8" max="8" width="16.109375" bestFit="1" customWidth="1"/>
    <col min="9" max="9" width="13.44140625" style="1" customWidth="1"/>
  </cols>
  <sheetData>
    <row r="1" spans="1:11" ht="18" x14ac:dyDescent="0.35">
      <c r="A1" s="2" t="s">
        <v>0</v>
      </c>
      <c r="B1" s="1"/>
      <c r="D1" s="1"/>
      <c r="F1" s="1"/>
      <c r="H1" s="1"/>
      <c r="J1" s="1"/>
    </row>
    <row r="2" spans="1:11" x14ac:dyDescent="0.3">
      <c r="A2" s="1" t="s">
        <v>1</v>
      </c>
      <c r="B2" s="1" t="s">
        <v>2</v>
      </c>
      <c r="D2" s="1" t="s">
        <v>3</v>
      </c>
      <c r="F2" s="1" t="s">
        <v>4</v>
      </c>
      <c r="H2" s="1" t="s">
        <v>5</v>
      </c>
      <c r="J2" s="1" t="s">
        <v>6</v>
      </c>
    </row>
    <row r="3" spans="1:11" x14ac:dyDescent="0.3">
      <c r="A3" s="1">
        <v>1</v>
      </c>
      <c r="B3" s="1">
        <v>10.5</v>
      </c>
      <c r="C3" s="3">
        <f>_xlfn.NORM.DIST(B3,$B$14,$B$15,1)</f>
        <v>0.3214362759345632</v>
      </c>
      <c r="D3" s="1">
        <v>0.2</v>
      </c>
      <c r="E3" s="3">
        <f>_xlfn.NORM.S.DIST(D3,1)</f>
        <v>0.57925970943910299</v>
      </c>
      <c r="F3" s="1">
        <v>2.5</v>
      </c>
      <c r="G3" s="3">
        <f>_xlfn.CHISQ.DIST(F3,5,1)</f>
        <v>0.22350492887667733</v>
      </c>
      <c r="H3" s="1">
        <v>1.2</v>
      </c>
      <c r="I3" s="3">
        <f>_xlfn.T.DIST(H3,5,1)</f>
        <v>0.85805447164694892</v>
      </c>
      <c r="J3" s="1">
        <v>0.8</v>
      </c>
      <c r="K3" s="3">
        <f>FISHER(J3)</f>
        <v>1.0986122886681098</v>
      </c>
    </row>
    <row r="4" spans="1:11" x14ac:dyDescent="0.3">
      <c r="A4" s="1">
        <v>2</v>
      </c>
      <c r="B4" s="1">
        <v>12.3</v>
      </c>
      <c r="C4" s="3">
        <f t="shared" ref="C4:C12" si="0">_xlfn.NORM.DIST(B4,$B$14,$B$15,1)</f>
        <v>0.92410137458361674</v>
      </c>
      <c r="D4" s="1">
        <v>-0.5</v>
      </c>
      <c r="E4" s="3">
        <f t="shared" ref="E4:E12" si="1">_xlfn.NORM.S.DIST(D4,1)</f>
        <v>0.30853753872598688</v>
      </c>
      <c r="F4" s="1">
        <v>3.1</v>
      </c>
      <c r="G4" s="3">
        <f t="shared" ref="G4:G12" si="2">_xlfn.CHISQ.DIST(F4,5,1)</f>
        <v>0.31542798533001748</v>
      </c>
      <c r="H4" s="1">
        <v>2</v>
      </c>
      <c r="I4" s="3">
        <f t="shared" ref="I4:I12" si="3">_xlfn.T.DIST(H4,5,1)</f>
        <v>0.94903026058507078</v>
      </c>
      <c r="J4" s="1">
        <v>1.1000000000000001</v>
      </c>
      <c r="K4" s="3">
        <f t="shared" ref="K4:K12" si="4">FISHERINV(J4)</f>
        <v>0.8004990217606297</v>
      </c>
    </row>
    <row r="5" spans="1:11" x14ac:dyDescent="0.3">
      <c r="A5" s="1">
        <v>3</v>
      </c>
      <c r="B5" s="1">
        <v>9.8000000000000007</v>
      </c>
      <c r="C5" s="3">
        <f t="shared" si="0"/>
        <v>0.1148040646695484</v>
      </c>
      <c r="D5" s="1">
        <v>1.1000000000000001</v>
      </c>
      <c r="E5" s="3">
        <f t="shared" si="1"/>
        <v>0.86433393905361733</v>
      </c>
      <c r="F5" s="1">
        <v>4</v>
      </c>
      <c r="G5" s="3">
        <f t="shared" si="2"/>
        <v>0.4505840486472199</v>
      </c>
      <c r="H5" s="1">
        <v>1.5</v>
      </c>
      <c r="I5" s="3">
        <f t="shared" si="3"/>
        <v>0.90304815987876319</v>
      </c>
      <c r="J5" s="1">
        <v>1.3</v>
      </c>
      <c r="K5" s="3">
        <f t="shared" si="4"/>
        <v>0.86172315931330634</v>
      </c>
    </row>
    <row r="6" spans="1:11" x14ac:dyDescent="0.3">
      <c r="A6" s="1">
        <v>4</v>
      </c>
      <c r="B6" s="1">
        <v>11.7</v>
      </c>
      <c r="C6" s="3">
        <f t="shared" si="0"/>
        <v>0.7884088799508856</v>
      </c>
      <c r="D6" s="1">
        <v>-0.3</v>
      </c>
      <c r="E6" s="3">
        <f t="shared" si="1"/>
        <v>0.38208857781104733</v>
      </c>
      <c r="F6" s="1">
        <v>3.5</v>
      </c>
      <c r="G6" s="3">
        <f t="shared" si="2"/>
        <v>0.37661237225041799</v>
      </c>
      <c r="H6" s="1">
        <v>2.2999999999999998</v>
      </c>
      <c r="I6" s="3">
        <f t="shared" si="3"/>
        <v>0.96511376533398141</v>
      </c>
      <c r="J6" s="1">
        <v>0.9</v>
      </c>
      <c r="K6" s="3">
        <f>FISHER(J6)</f>
        <v>1.4722194895832204</v>
      </c>
    </row>
    <row r="7" spans="1:11" x14ac:dyDescent="0.3">
      <c r="A7" s="1">
        <v>5</v>
      </c>
      <c r="B7" s="1">
        <v>10.9</v>
      </c>
      <c r="C7" s="3">
        <f t="shared" si="0"/>
        <v>0.48318824723559034</v>
      </c>
      <c r="D7" s="1">
        <v>0.7</v>
      </c>
      <c r="E7" s="3">
        <f t="shared" si="1"/>
        <v>0.75803634777692697</v>
      </c>
      <c r="F7" s="1">
        <v>2.8</v>
      </c>
      <c r="G7" s="3">
        <f t="shared" si="2"/>
        <v>0.26921351341124156</v>
      </c>
      <c r="H7" s="1">
        <v>1.8</v>
      </c>
      <c r="I7" s="3">
        <f t="shared" si="3"/>
        <v>0.93412120836455392</v>
      </c>
      <c r="J7" s="1">
        <v>1</v>
      </c>
      <c r="K7" s="3">
        <f t="shared" si="4"/>
        <v>0.76159415595576485</v>
      </c>
    </row>
    <row r="8" spans="1:11" x14ac:dyDescent="0.3">
      <c r="A8" s="1">
        <v>6</v>
      </c>
      <c r="B8" s="1">
        <v>11.2</v>
      </c>
      <c r="C8" s="3">
        <f t="shared" si="0"/>
        <v>0.60795631311252507</v>
      </c>
      <c r="D8" s="1">
        <v>-1</v>
      </c>
      <c r="E8" s="3">
        <f t="shared" si="1"/>
        <v>0.15865525393145699</v>
      </c>
      <c r="F8" s="1">
        <v>3</v>
      </c>
      <c r="G8" s="3">
        <f t="shared" si="2"/>
        <v>0.3000141641213725</v>
      </c>
      <c r="H8" s="1">
        <v>2.1</v>
      </c>
      <c r="I8" s="3">
        <f t="shared" si="3"/>
        <v>0.95512337505770062</v>
      </c>
      <c r="J8" s="1">
        <v>1.4</v>
      </c>
      <c r="K8" s="3">
        <f t="shared" si="4"/>
        <v>0.88535164820226253</v>
      </c>
    </row>
    <row r="9" spans="1:11" x14ac:dyDescent="0.3">
      <c r="A9" s="1">
        <v>7</v>
      </c>
      <c r="B9" s="1">
        <v>10.1</v>
      </c>
      <c r="C9" s="3">
        <f t="shared" si="0"/>
        <v>0.18801920965995023</v>
      </c>
      <c r="D9" s="1">
        <v>0.4</v>
      </c>
      <c r="E9" s="3">
        <f t="shared" si="1"/>
        <v>0.65542174161032429</v>
      </c>
      <c r="F9" s="1">
        <v>3.3</v>
      </c>
      <c r="G9" s="3">
        <f t="shared" si="2"/>
        <v>0.34615831760554572</v>
      </c>
      <c r="H9" s="1">
        <v>1.7</v>
      </c>
      <c r="I9" s="3">
        <f t="shared" si="3"/>
        <v>0.92506160657583802</v>
      </c>
      <c r="J9" s="1">
        <v>1.2</v>
      </c>
      <c r="K9" s="3">
        <f t="shared" si="4"/>
        <v>0.83365460701215521</v>
      </c>
    </row>
    <row r="10" spans="1:11" x14ac:dyDescent="0.3">
      <c r="A10" s="1">
        <v>8</v>
      </c>
      <c r="B10" s="1">
        <v>12</v>
      </c>
      <c r="C10" s="3">
        <f t="shared" si="0"/>
        <v>0.86801616063614628</v>
      </c>
      <c r="D10" s="1">
        <v>-0.8</v>
      </c>
      <c r="E10" s="3">
        <f t="shared" si="1"/>
        <v>0.21185539858339661</v>
      </c>
      <c r="F10" s="1">
        <v>2.9</v>
      </c>
      <c r="G10" s="3">
        <f t="shared" si="2"/>
        <v>0.28460048565641977</v>
      </c>
      <c r="H10" s="1">
        <v>2.4</v>
      </c>
      <c r="I10" s="3">
        <f t="shared" si="3"/>
        <v>0.96918960440198609</v>
      </c>
      <c r="J10" s="1">
        <v>0.7</v>
      </c>
      <c r="K10" s="3">
        <f>FISHER(J10)</f>
        <v>0.86730052769405319</v>
      </c>
    </row>
    <row r="11" spans="1:11" x14ac:dyDescent="0.3">
      <c r="A11" s="1">
        <v>9</v>
      </c>
      <c r="B11" s="1">
        <v>9.5</v>
      </c>
      <c r="C11" s="3">
        <f t="shared" si="0"/>
        <v>6.4567897098569596E-2</v>
      </c>
      <c r="D11" s="1">
        <v>1.3</v>
      </c>
      <c r="E11" s="3">
        <f t="shared" si="1"/>
        <v>0.9031995154143897</v>
      </c>
      <c r="F11" s="1">
        <v>3.7</v>
      </c>
      <c r="G11" s="3">
        <f t="shared" si="2"/>
        <v>0.40663603821819228</v>
      </c>
      <c r="H11" s="1">
        <v>1.6</v>
      </c>
      <c r="I11" s="3">
        <f t="shared" si="3"/>
        <v>0.91475238408740911</v>
      </c>
      <c r="J11" s="1">
        <v>1.5</v>
      </c>
      <c r="K11" s="3">
        <f t="shared" si="4"/>
        <v>0.9051482536448664</v>
      </c>
    </row>
    <row r="12" spans="1:11" x14ac:dyDescent="0.3">
      <c r="A12" s="1">
        <v>10</v>
      </c>
      <c r="B12" s="1">
        <v>11.4</v>
      </c>
      <c r="C12" s="3">
        <f t="shared" si="0"/>
        <v>0.68607772691906765</v>
      </c>
      <c r="D12" s="1">
        <v>-0.2</v>
      </c>
      <c r="E12" s="3">
        <f t="shared" si="1"/>
        <v>0.42074029056089696</v>
      </c>
      <c r="F12" s="1">
        <v>3.2</v>
      </c>
      <c r="G12" s="3">
        <f t="shared" si="2"/>
        <v>0.33081709796675685</v>
      </c>
      <c r="H12" s="1">
        <v>2.2000000000000002</v>
      </c>
      <c r="I12" s="3">
        <f t="shared" si="3"/>
        <v>0.96045305104840883</v>
      </c>
      <c r="J12" s="1">
        <v>1.3</v>
      </c>
      <c r="K12" s="3">
        <f t="shared" si="4"/>
        <v>0.86172315931330634</v>
      </c>
    </row>
    <row r="14" spans="1:11" x14ac:dyDescent="0.3">
      <c r="A14" t="s">
        <v>7</v>
      </c>
      <c r="B14">
        <f>AVERAGE(B3:B12)</f>
        <v>10.94</v>
      </c>
      <c r="F14" t="s">
        <v>9</v>
      </c>
    </row>
    <row r="15" spans="1:11" x14ac:dyDescent="0.3">
      <c r="A15" t="s">
        <v>8</v>
      </c>
      <c r="B15" s="3">
        <f>_xlfn.STDEV.S(B3:B12)</f>
        <v>0.94891751192843121</v>
      </c>
      <c r="C15" s="3"/>
      <c r="F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Лера Ивличева</dc:creator>
  <cp:lastModifiedBy>Лера Ивличева</cp:lastModifiedBy>
  <dcterms:created xsi:type="dcterms:W3CDTF">2024-09-17T08:37:28Z</dcterms:created>
  <dcterms:modified xsi:type="dcterms:W3CDTF">2024-09-17T19:19:41Z</dcterms:modified>
</cp:coreProperties>
</file>