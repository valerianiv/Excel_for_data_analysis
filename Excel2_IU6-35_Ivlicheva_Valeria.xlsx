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ecb1f40dd0f0c1a8/Рабочий стол/лабы сдад/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O3" i="1"/>
  <c r="O4" i="1"/>
  <c r="O5" i="1"/>
  <c r="O6" i="1"/>
  <c r="O7" i="1"/>
  <c r="O8" i="1"/>
  <c r="O9" i="1"/>
  <c r="O10" i="1"/>
  <c r="O11" i="1"/>
  <c r="O12" i="1"/>
  <c r="T3" i="1"/>
  <c r="T4" i="1"/>
  <c r="T5" i="1"/>
  <c r="T6" i="1"/>
  <c r="T7" i="1"/>
  <c r="T8" i="1"/>
  <c r="T9" i="1"/>
  <c r="T10" i="1"/>
  <c r="T11" i="1"/>
  <c r="T12" i="1"/>
  <c r="S15" i="1"/>
  <c r="S14" i="1"/>
  <c r="N14" i="1"/>
  <c r="N15" i="1"/>
  <c r="J15" i="1"/>
  <c r="J14" i="1"/>
  <c r="S13" i="1"/>
  <c r="N13" i="1"/>
  <c r="J13" i="1"/>
</calcChain>
</file>

<file path=xl/sharedStrings.xml><?xml version="1.0" encoding="utf-8"?>
<sst xmlns="http://schemas.openxmlformats.org/spreadsheetml/2006/main" count="46" uniqueCount="33">
  <si>
    <t>Вариант 1</t>
  </si>
  <si>
    <t>Товар</t>
  </si>
  <si>
    <t>Категория</t>
  </si>
  <si>
    <t>Цена (руб)</t>
  </si>
  <si>
    <t>Количество</t>
  </si>
  <si>
    <t>Поставщик</t>
  </si>
  <si>
    <t>Скидка (%)</t>
  </si>
  <si>
    <t>Хлеб</t>
  </si>
  <si>
    <t>Продукты</t>
  </si>
  <si>
    <t>Пекарня №1</t>
  </si>
  <si>
    <t>Молоко</t>
  </si>
  <si>
    <t>Молзавод</t>
  </si>
  <si>
    <t>Сыр</t>
  </si>
  <si>
    <t>Яблоки</t>
  </si>
  <si>
    <t>Фрукты</t>
  </si>
  <si>
    <t>Фермеры</t>
  </si>
  <si>
    <t>Шоколад</t>
  </si>
  <si>
    <t>Сладости</t>
  </si>
  <si>
    <t>КонфетыКо</t>
  </si>
  <si>
    <t>Кофе</t>
  </si>
  <si>
    <t>Напитки</t>
  </si>
  <si>
    <t>КофеИнк</t>
  </si>
  <si>
    <t>Чай</t>
  </si>
  <si>
    <t>ЧайнаяКо</t>
  </si>
  <si>
    <t>Вода</t>
  </si>
  <si>
    <t>ВодныйМир</t>
  </si>
  <si>
    <t>Печенье</t>
  </si>
  <si>
    <t>Бананы</t>
  </si>
  <si>
    <t>Среднее</t>
  </si>
  <si>
    <t>Медиана</t>
  </si>
  <si>
    <t>Отклонение</t>
  </si>
  <si>
    <t>Норм. Отклонение</t>
  </si>
  <si>
    <t xml:space="preserve">Норм. Отклонение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</si>
</sst>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0.000"/>
  </numFmts>
  <fonts count="2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0" borderId="0" xfId="0" applyFont="1"/>
    <xf numFmtId="0" fontId="0" fillId="2" borderId="1" xfId="0" applyFill="1" applyBorder="1"/>
    <xf numFmtId="171" fontId="0" fillId="2" borderId="1" xfId="0" applyNumberFormat="1" applyFill="1" applyBorder="1"/>
    <xf numFmtId="2" fontId="0" fillId="2" borderId="1" xfId="0" applyNumberFormat="1" applyFill="1" applyBorder="1"/>
    <xf numFmtId="171" fontId="0" fillId="0" borderId="0" xfId="0" applyNumberFormat="1"/>
    <xf numFmtId="171" fontId="0" fillId="0" borderId="0" xfId="0" applyNumberFormat="1" applyAlignment="1">
      <alignment horizontal="left" indent="9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tabSelected="1" workbookViewId="0">
      <selection activeCell="M17" sqref="M17"/>
    </sheetView>
  </sheetViews>
  <sheetFormatPr defaultRowHeight="14.4" x14ac:dyDescent="0.3"/>
  <cols>
    <col min="1" max="1" width="12" bestFit="1" customWidth="1"/>
    <col min="2" max="2" width="9.77734375" bestFit="1" customWidth="1"/>
    <col min="3" max="3" width="10" bestFit="1" customWidth="1"/>
    <col min="4" max="4" width="11" bestFit="1" customWidth="1"/>
    <col min="5" max="5" width="11.6640625" bestFit="1" customWidth="1"/>
    <col min="6" max="6" width="10.109375" bestFit="1" customWidth="1"/>
    <col min="9" max="9" width="11.44140625" bestFit="1" customWidth="1"/>
    <col min="10" max="10" width="18" customWidth="1"/>
    <col min="11" max="11" width="3.6640625" customWidth="1"/>
    <col min="12" max="12" width="3.88671875" customWidth="1"/>
    <col min="13" max="13" width="4" customWidth="1"/>
    <col min="14" max="14" width="12" bestFit="1" customWidth="1"/>
    <col min="15" max="15" width="17.77734375" bestFit="1" customWidth="1"/>
    <col min="16" max="16" width="4.44140625" customWidth="1"/>
    <col min="17" max="18" width="3.88671875" customWidth="1"/>
    <col min="19" max="19" width="12" bestFit="1" customWidth="1"/>
    <col min="20" max="20" width="17.33203125" bestFit="1" customWidth="1"/>
  </cols>
  <sheetData>
    <row r="1" spans="1:20" ht="18" x14ac:dyDescent="0.35">
      <c r="A1" s="2" t="s">
        <v>0</v>
      </c>
      <c r="B1" s="1"/>
      <c r="C1" s="1"/>
      <c r="D1" s="1"/>
      <c r="E1" s="1"/>
      <c r="F1" s="1"/>
    </row>
    <row r="2" spans="1:20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I2" s="1" t="s">
        <v>3</v>
      </c>
      <c r="J2" t="s">
        <v>31</v>
      </c>
      <c r="N2" s="1" t="s">
        <v>4</v>
      </c>
      <c r="O2" t="s">
        <v>32</v>
      </c>
      <c r="S2" s="1" t="s">
        <v>6</v>
      </c>
      <c r="T2" t="s">
        <v>31</v>
      </c>
    </row>
    <row r="3" spans="1:20" x14ac:dyDescent="0.3">
      <c r="A3" s="1" t="s">
        <v>7</v>
      </c>
      <c r="B3" s="1" t="s">
        <v>8</v>
      </c>
      <c r="C3" s="1">
        <v>40</v>
      </c>
      <c r="D3" s="1">
        <v>100</v>
      </c>
      <c r="E3" s="1" t="s">
        <v>9</v>
      </c>
      <c r="F3" s="1">
        <v>5</v>
      </c>
      <c r="I3" s="1">
        <v>40</v>
      </c>
      <c r="J3" s="7">
        <f>STANDARDIZE(I3,$J$13,$J$15)</f>
        <v>-0.9296696802013682</v>
      </c>
      <c r="N3" s="1">
        <v>100</v>
      </c>
      <c r="O3" s="6">
        <f>STANDARDIZE(N3,$N$13,$N$15)</f>
        <v>-0.27816463759949739</v>
      </c>
      <c r="S3" s="1">
        <v>5</v>
      </c>
      <c r="T3" s="6">
        <f>STANDARDIZE(S3,$S$13,$S$15)</f>
        <v>-0.66132397324636694</v>
      </c>
    </row>
    <row r="4" spans="1:20" x14ac:dyDescent="0.3">
      <c r="A4" s="1" t="s">
        <v>10</v>
      </c>
      <c r="B4" s="1" t="s">
        <v>8</v>
      </c>
      <c r="C4" s="1">
        <v>60</v>
      </c>
      <c r="D4" s="1">
        <v>200</v>
      </c>
      <c r="E4" s="1" t="s">
        <v>11</v>
      </c>
      <c r="F4" s="1">
        <v>10</v>
      </c>
      <c r="I4" s="1">
        <v>60</v>
      </c>
      <c r="J4" s="6">
        <f t="shared" ref="J4:J12" si="0">STANDARDIZE(I4,$J$13,$J$15)</f>
        <v>-0.76063882925566495</v>
      </c>
      <c r="N4" s="1">
        <v>200</v>
      </c>
      <c r="O4" s="6">
        <f t="shared" ref="O4:O12" si="1">STANDARDIZE(N4,$N$13,$N$15)</f>
        <v>0.45384756660970627</v>
      </c>
      <c r="S4" s="1">
        <v>10</v>
      </c>
      <c r="T4" s="6">
        <f t="shared" ref="T4:T12" si="2">STANDARDIZE(S4,$S$13,$S$15)</f>
        <v>-6.012036120421517E-2</v>
      </c>
    </row>
    <row r="5" spans="1:20" x14ac:dyDescent="0.3">
      <c r="A5" s="1" t="s">
        <v>12</v>
      </c>
      <c r="B5" s="1" t="s">
        <v>8</v>
      </c>
      <c r="C5" s="1">
        <v>300</v>
      </c>
      <c r="D5" s="1">
        <v>50</v>
      </c>
      <c r="E5" s="1" t="s">
        <v>11</v>
      </c>
      <c r="F5" s="1">
        <v>15</v>
      </c>
      <c r="I5" s="1">
        <v>300</v>
      </c>
      <c r="J5" s="6">
        <f t="shared" si="0"/>
        <v>1.2677313820927749</v>
      </c>
      <c r="N5" s="1">
        <v>50</v>
      </c>
      <c r="O5" s="6">
        <f t="shared" si="1"/>
        <v>-0.64417073970409922</v>
      </c>
      <c r="S5" s="1">
        <v>15</v>
      </c>
      <c r="T5" s="6">
        <f t="shared" si="2"/>
        <v>0.54108325083793651</v>
      </c>
    </row>
    <row r="6" spans="1:20" x14ac:dyDescent="0.3">
      <c r="A6" s="1" t="s">
        <v>13</v>
      </c>
      <c r="B6" s="1" t="s">
        <v>14</v>
      </c>
      <c r="C6" s="1">
        <v>100</v>
      </c>
      <c r="D6" s="1">
        <v>150</v>
      </c>
      <c r="E6" s="1" t="s">
        <v>15</v>
      </c>
      <c r="F6" s="1">
        <v>0</v>
      </c>
      <c r="I6" s="1">
        <v>100</v>
      </c>
      <c r="J6" s="6">
        <f t="shared" si="0"/>
        <v>-0.42257712736425829</v>
      </c>
      <c r="N6" s="1">
        <v>150</v>
      </c>
      <c r="O6" s="6">
        <f t="shared" si="1"/>
        <v>8.7841464505104438E-2</v>
      </c>
      <c r="S6" s="1">
        <v>0</v>
      </c>
      <c r="T6" s="6">
        <f t="shared" si="2"/>
        <v>-1.2625275852885187</v>
      </c>
    </row>
    <row r="7" spans="1:20" x14ac:dyDescent="0.3">
      <c r="A7" s="1" t="s">
        <v>16</v>
      </c>
      <c r="B7" s="1" t="s">
        <v>17</v>
      </c>
      <c r="C7" s="1">
        <v>150</v>
      </c>
      <c r="D7" s="1">
        <v>80</v>
      </c>
      <c r="E7" s="1" t="s">
        <v>18</v>
      </c>
      <c r="F7" s="1">
        <v>20</v>
      </c>
      <c r="I7" s="1">
        <v>150</v>
      </c>
      <c r="J7" s="1">
        <f t="shared" si="0"/>
        <v>0</v>
      </c>
      <c r="N7" s="1">
        <v>80</v>
      </c>
      <c r="O7" s="6">
        <f t="shared" si="1"/>
        <v>-0.42456707844133812</v>
      </c>
      <c r="S7" s="1">
        <v>20</v>
      </c>
      <c r="T7" s="6">
        <f t="shared" si="2"/>
        <v>1.1422868628800882</v>
      </c>
    </row>
    <row r="8" spans="1:20" x14ac:dyDescent="0.3">
      <c r="A8" s="1" t="s">
        <v>19</v>
      </c>
      <c r="B8" s="1" t="s">
        <v>20</v>
      </c>
      <c r="C8" s="1">
        <v>400</v>
      </c>
      <c r="D8" s="1">
        <v>30</v>
      </c>
      <c r="E8" s="1" t="s">
        <v>21</v>
      </c>
      <c r="F8" s="1">
        <v>25</v>
      </c>
      <c r="I8" s="1">
        <v>400</v>
      </c>
      <c r="J8" s="6">
        <f t="shared" si="0"/>
        <v>2.1128856368212916</v>
      </c>
      <c r="N8" s="1">
        <v>30</v>
      </c>
      <c r="O8" s="6">
        <f t="shared" si="1"/>
        <v>-0.79057318054593995</v>
      </c>
      <c r="S8" s="1">
        <v>25</v>
      </c>
      <c r="T8" s="6">
        <f t="shared" si="2"/>
        <v>1.74349047492224</v>
      </c>
    </row>
    <row r="9" spans="1:20" x14ac:dyDescent="0.3">
      <c r="A9" s="1" t="s">
        <v>22</v>
      </c>
      <c r="B9" s="1" t="s">
        <v>20</v>
      </c>
      <c r="C9" s="1">
        <v>200</v>
      </c>
      <c r="D9" s="1">
        <v>60</v>
      </c>
      <c r="E9" s="1" t="s">
        <v>23</v>
      </c>
      <c r="F9" s="1">
        <v>10</v>
      </c>
      <c r="I9" s="1">
        <v>200</v>
      </c>
      <c r="J9" s="6">
        <f t="shared" si="0"/>
        <v>0.42257712736425829</v>
      </c>
      <c r="N9" s="1">
        <v>60</v>
      </c>
      <c r="O9" s="6">
        <f t="shared" si="1"/>
        <v>-0.57096951928317885</v>
      </c>
      <c r="S9" s="1">
        <v>10</v>
      </c>
      <c r="T9" s="6">
        <f t="shared" si="2"/>
        <v>-6.012036120421517E-2</v>
      </c>
    </row>
    <row r="10" spans="1:20" x14ac:dyDescent="0.3">
      <c r="A10" s="1" t="s">
        <v>24</v>
      </c>
      <c r="B10" s="1" t="s">
        <v>20</v>
      </c>
      <c r="C10" s="1">
        <v>50</v>
      </c>
      <c r="D10" s="1">
        <v>500</v>
      </c>
      <c r="E10" s="1" t="s">
        <v>25</v>
      </c>
      <c r="F10" s="1">
        <v>5</v>
      </c>
      <c r="I10" s="1">
        <v>50</v>
      </c>
      <c r="J10" s="6">
        <f t="shared" si="0"/>
        <v>-0.84515425472851657</v>
      </c>
      <c r="N10" s="1">
        <v>500</v>
      </c>
      <c r="O10" s="6">
        <f t="shared" si="1"/>
        <v>2.6498841792373171</v>
      </c>
      <c r="S10" s="1">
        <v>5</v>
      </c>
      <c r="T10" s="6">
        <f t="shared" si="2"/>
        <v>-0.66132397324636694</v>
      </c>
    </row>
    <row r="11" spans="1:20" x14ac:dyDescent="0.3">
      <c r="A11" s="1" t="s">
        <v>26</v>
      </c>
      <c r="B11" s="1" t="s">
        <v>17</v>
      </c>
      <c r="C11" s="1">
        <v>120</v>
      </c>
      <c r="D11" s="1">
        <v>90</v>
      </c>
      <c r="E11" s="1" t="s">
        <v>18</v>
      </c>
      <c r="F11" s="1">
        <v>15</v>
      </c>
      <c r="I11" s="1">
        <v>120</v>
      </c>
      <c r="J11" s="6">
        <f t="shared" si="0"/>
        <v>-0.25354627641855498</v>
      </c>
      <c r="N11" s="1">
        <v>90</v>
      </c>
      <c r="O11" s="6">
        <f t="shared" si="1"/>
        <v>-0.35136585802041775</v>
      </c>
      <c r="S11" s="1">
        <v>15</v>
      </c>
      <c r="T11" s="6">
        <f t="shared" si="2"/>
        <v>0.54108325083793651</v>
      </c>
    </row>
    <row r="12" spans="1:20" x14ac:dyDescent="0.3">
      <c r="A12" s="1" t="s">
        <v>27</v>
      </c>
      <c r="B12" s="1" t="s">
        <v>14</v>
      </c>
      <c r="C12" s="1">
        <v>80</v>
      </c>
      <c r="D12" s="1">
        <v>120</v>
      </c>
      <c r="E12" s="1" t="s">
        <v>15</v>
      </c>
      <c r="F12" s="1">
        <v>0</v>
      </c>
      <c r="I12" s="1">
        <v>80</v>
      </c>
      <c r="J12" s="6">
        <f t="shared" si="0"/>
        <v>-0.59160797830996159</v>
      </c>
      <c r="N12" s="1">
        <v>120</v>
      </c>
      <c r="O12" s="6">
        <f t="shared" si="1"/>
        <v>-0.13176219675765666</v>
      </c>
      <c r="S12" s="1">
        <v>0</v>
      </c>
      <c r="T12" s="6">
        <f t="shared" si="2"/>
        <v>-1.2625275852885187</v>
      </c>
    </row>
    <row r="13" spans="1:20" x14ac:dyDescent="0.3">
      <c r="I13" s="3" t="s">
        <v>28</v>
      </c>
      <c r="J13" s="3">
        <f>AVERAGE(I3:I12)</f>
        <v>150</v>
      </c>
      <c r="K13" s="3"/>
      <c r="L13" s="3"/>
      <c r="M13" s="3"/>
      <c r="N13" s="3">
        <f>AVERAGE(N3:N12)</f>
        <v>138</v>
      </c>
      <c r="O13" s="3"/>
      <c r="P13" s="3"/>
      <c r="Q13" s="3"/>
      <c r="R13" s="3"/>
      <c r="S13" s="3">
        <f>AVERAGE(S3:S12)</f>
        <v>10.5</v>
      </c>
      <c r="T13" s="3"/>
    </row>
    <row r="14" spans="1:20" x14ac:dyDescent="0.3">
      <c r="I14" s="3" t="s">
        <v>29</v>
      </c>
      <c r="J14" s="3">
        <f>MEDIAN(I3:I12)</f>
        <v>110</v>
      </c>
      <c r="K14" s="3"/>
      <c r="L14" s="3"/>
      <c r="M14" s="3"/>
      <c r="N14" s="3">
        <f>MEDIAN(N3:N12)</f>
        <v>95</v>
      </c>
      <c r="O14" s="3"/>
      <c r="P14" s="3"/>
      <c r="Q14" s="3"/>
      <c r="R14" s="3"/>
      <c r="S14" s="3">
        <f>MEDIAN(S3:S12)</f>
        <v>10</v>
      </c>
      <c r="T14" s="3"/>
    </row>
    <row r="15" spans="1:20" x14ac:dyDescent="0.3">
      <c r="I15" s="3" t="s">
        <v>30</v>
      </c>
      <c r="J15" s="4">
        <f>_xlfn.STDEV.S(I3:I12)</f>
        <v>118.32159566199232</v>
      </c>
      <c r="K15" s="3"/>
      <c r="L15" s="3"/>
      <c r="M15" s="3"/>
      <c r="N15" s="4">
        <f>_xlfn.STDEV.S(N3:N12)</f>
        <v>136.60974424330874</v>
      </c>
      <c r="O15" s="3"/>
      <c r="P15" s="3"/>
      <c r="Q15" s="3"/>
      <c r="R15" s="3"/>
      <c r="S15" s="5">
        <f>_xlfn.STDEV.S(S3:S12)</f>
        <v>8.3166499665830997</v>
      </c>
      <c r="T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Лера Ивличева</dc:creator>
  <cp:lastModifiedBy>Лера Ивличева</cp:lastModifiedBy>
  <dcterms:created xsi:type="dcterms:W3CDTF">2024-09-15T19:24:01Z</dcterms:created>
  <dcterms:modified xsi:type="dcterms:W3CDTF">2024-09-15T20:24:08Z</dcterms:modified>
</cp:coreProperties>
</file>