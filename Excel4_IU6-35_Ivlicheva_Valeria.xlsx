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ra_\OneDrive\Рабочий стол\лабы сдад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1" l="1"/>
  <c r="C12" i="1"/>
  <c r="D12" i="1"/>
  <c r="E12" i="1"/>
  <c r="F12" i="1"/>
  <c r="G12" i="1"/>
  <c r="B12" i="1"/>
</calcChain>
</file>

<file path=xl/sharedStrings.xml><?xml version="1.0" encoding="utf-8"?>
<sst xmlns="http://schemas.openxmlformats.org/spreadsheetml/2006/main" count="101" uniqueCount="64">
  <si>
    <t>Вариант 1</t>
  </si>
  <si>
    <t>Уровни фактора</t>
  </si>
  <si>
    <t>Номер испытания i</t>
  </si>
  <si>
    <t>F1</t>
  </si>
  <si>
    <t>F2</t>
  </si>
  <si>
    <t>F3</t>
  </si>
  <si>
    <t>F4</t>
  </si>
  <si>
    <t>F5</t>
  </si>
  <si>
    <t>F6</t>
  </si>
  <si>
    <r>
      <t>x</t>
    </r>
    <r>
      <rPr>
        <vertAlign val="subscript"/>
        <sz val="11"/>
        <color theme="1"/>
        <rFont val="Calibri"/>
        <scheme val="minor"/>
      </rPr>
      <t>rp</t>
    </r>
    <r>
      <rPr>
        <i/>
        <vertAlign val="subscript"/>
        <sz val="11"/>
        <color theme="1"/>
        <rFont val="Calibri"/>
        <scheme val="minor"/>
      </rPr>
      <t>j</t>
    </r>
  </si>
  <si>
    <t>Однофакторный дисперсионный анализ</t>
  </si>
  <si>
    <t>ИТОГИ</t>
  </si>
  <si>
    <t>Группы</t>
  </si>
  <si>
    <t>Счет</t>
  </si>
  <si>
    <t>Сумма</t>
  </si>
  <si>
    <t>Среднее</t>
  </si>
  <si>
    <t>Дисперсия</t>
  </si>
  <si>
    <t>Столбец 1</t>
  </si>
  <si>
    <t>Столбец 2</t>
  </si>
  <si>
    <t>Столбец 3</t>
  </si>
  <si>
    <t>Столбец 4</t>
  </si>
  <si>
    <t>Столбец 5</t>
  </si>
  <si>
    <t>Столбец 6</t>
  </si>
  <si>
    <t>Дисперсионный анализ</t>
  </si>
  <si>
    <t>Источник вариации</t>
  </si>
  <si>
    <t>SS</t>
  </si>
  <si>
    <t>df</t>
  </si>
  <si>
    <t>MS</t>
  </si>
  <si>
    <t>F</t>
  </si>
  <si>
    <t>P-Значение</t>
  </si>
  <si>
    <t>F критическое</t>
  </si>
  <si>
    <t>Между группами</t>
  </si>
  <si>
    <t>Внутри групп</t>
  </si>
  <si>
    <t>Итого</t>
  </si>
  <si>
    <t>yгрj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</si>
  <si>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</si>
  <si>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</si>
  <si>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Корреляция</t>
  </si>
  <si>
    <t>X</t>
  </si>
  <si>
    <t>Y</t>
  </si>
  <si>
    <r>
      <t>n</t>
    </r>
    <r>
      <rPr>
        <vertAlign val="subscript"/>
        <sz val="11"/>
        <color theme="1"/>
        <rFont val="Calibri"/>
        <family val="2"/>
        <charset val="204"/>
        <scheme val="minor"/>
      </rPr>
      <t>y</t>
    </r>
  </si>
  <si>
    <t>-</t>
  </si>
  <si>
    <r>
      <t>n</t>
    </r>
    <r>
      <rPr>
        <vertAlign val="subscript"/>
        <sz val="11"/>
        <color theme="1"/>
        <rFont val="Calibri"/>
        <family val="2"/>
        <charset val="204"/>
        <scheme val="minor"/>
      </rPr>
      <t>x</t>
    </r>
  </si>
  <si>
    <t>n=50</t>
  </si>
  <si>
    <t>Корелляционный анализ</t>
  </si>
  <si>
    <t>Регрессионный анализ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</si>
  <si>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</si>
  <si>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</si>
  <si>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</si>
  <si>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</si>
  <si>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</si>
  <si>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</si>
  <si>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</si>
  <si>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Регрессия</t>
  </si>
  <si>
    <t>Остаток</t>
  </si>
  <si>
    <t>Y-пересечение</t>
  </si>
  <si>
    <t>Значимость F</t>
  </si>
  <si>
    <t>Коэффициенты</t>
  </si>
  <si>
    <t>t-статистика</t>
  </si>
  <si>
    <t>Нижние 95%</t>
  </si>
  <si>
    <t>Верхние 95%</t>
  </si>
  <si>
    <t>Нижние 95,0%</t>
  </si>
  <si>
    <t>Верхние 95,0%</t>
  </si>
  <si>
    <t>Переменная X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</si>
</sst>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vertAlign val="subscript"/>
      <sz val="11"/>
      <color theme="1"/>
      <name val="Calibri"/>
      <scheme val="minor"/>
    </font>
    <font>
      <i/>
      <vertAlign val="subscript"/>
      <sz val="11"/>
      <color theme="1"/>
      <name val="Calibri"/>
      <scheme val="minor"/>
    </font>
    <font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7">
    <xf numFmtId="0" fontId="0" fillId="0" borderId="0" xfId="0"/>
    <xf numFmtId="0" fontId="3" fillId="0" borderId="0" xfId="1" applyNumberFormat="1" applyFon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0" fillId="0" borderId="0" xfId="1" applyNumberFormat="1" applyFont="1" applyAlignment="1">
      <alignment horizontal="center"/>
    </xf>
    <xf numFmtId="0" fontId="1" fillId="0" borderId="0" xfId="2" applyNumberFormat="1" applyFont="1"/>
    <xf numFmtId="0" fontId="1" fillId="0" borderId="0" xfId="2" applyNumberFormat="1" applyFont="1" applyAlignment="1">
      <alignment horizontal="center"/>
    </xf>
    <xf numFmtId="0" fontId="1" fillId="0" borderId="0" xfId="2" applyNumberFormat="1" applyFont="1" applyFill="1" applyAlignment="1">
      <alignment horizontal="center"/>
    </xf>
    <xf numFmtId="164" fontId="0" fillId="0" borderId="0" xfId="0" applyNumberFormat="1"/>
    <xf numFmtId="0" fontId="1" fillId="0" borderId="0" xfId="2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1" fillId="0" borderId="0" xfId="2" applyNumberFormat="1" applyFont="1" applyAlignment="1">
      <alignment horizontal="center"/>
    </xf>
    <xf numFmtId="0" fontId="1" fillId="2" borderId="3" xfId="2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Continuous"/>
    </xf>
    <xf numFmtId="0" fontId="3" fillId="0" borderId="0" xfId="1" applyNumberFormat="1" applyFont="1" applyAlignment="1">
      <alignment horizontal="center"/>
    </xf>
    <xf numFmtId="0" fontId="1" fillId="0" borderId="0" xfId="2" applyNumberFormat="1" applyFont="1" applyAlignment="1">
      <alignment horizont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tabSelected="1" topLeftCell="A44" zoomScale="79" workbookViewId="0">
      <selection activeCell="E67" sqref="E67"/>
    </sheetView>
  </sheetViews>
  <sheetFormatPr defaultRowHeight="14.4" x14ac:dyDescent="0.3"/>
  <cols>
    <col min="1" max="1" width="34" customWidth="1"/>
    <col min="2" max="3" width="11.77734375" customWidth="1"/>
    <col min="4" max="4" width="24.88671875" bestFit="1" customWidth="1"/>
    <col min="5" max="5" width="15.6640625" customWidth="1"/>
    <col min="6" max="6" width="21" bestFit="1" customWidth="1"/>
    <col min="7" max="7" width="14.21875" bestFit="1" customWidth="1"/>
    <col min="8" max="8" width="12" bestFit="1" customWidth="1"/>
    <col min="9" max="9" width="13.5546875" bestFit="1" customWidth="1"/>
    <col min="10" max="10" width="12.5546875" bestFit="1" customWidth="1"/>
    <col min="11" max="11" width="13.88671875" bestFit="1" customWidth="1"/>
    <col min="12" max="12" width="14.109375" bestFit="1" customWidth="1"/>
  </cols>
  <sheetData>
    <row r="1" spans="1:7" x14ac:dyDescent="0.3">
      <c r="A1" s="1" t="s">
        <v>0</v>
      </c>
      <c r="B1" s="15" t="s">
        <v>1</v>
      </c>
      <c r="C1" s="15"/>
      <c r="D1" s="15"/>
      <c r="E1" s="15"/>
      <c r="F1" s="15"/>
      <c r="G1" s="15"/>
    </row>
    <row r="2" spans="1:7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">
      <c r="A3" s="1">
        <v>1</v>
      </c>
      <c r="B3" s="1">
        <v>100</v>
      </c>
      <c r="C3" s="1">
        <v>92</v>
      </c>
      <c r="D3" s="1">
        <v>74</v>
      </c>
      <c r="E3" s="1">
        <v>68</v>
      </c>
      <c r="F3" s="1">
        <v>64</v>
      </c>
      <c r="G3" s="1">
        <v>69</v>
      </c>
    </row>
    <row r="4" spans="1:7" x14ac:dyDescent="0.3">
      <c r="A4" s="1">
        <v>2</v>
      </c>
      <c r="B4" s="1">
        <v>101</v>
      </c>
      <c r="C4" s="1">
        <v>102</v>
      </c>
      <c r="D4" s="1">
        <v>87</v>
      </c>
      <c r="E4" s="1">
        <v>80</v>
      </c>
      <c r="F4" s="1">
        <v>83</v>
      </c>
      <c r="G4" s="1">
        <v>71</v>
      </c>
    </row>
    <row r="5" spans="1:7" x14ac:dyDescent="0.3">
      <c r="A5" s="1">
        <v>3</v>
      </c>
      <c r="B5" s="1">
        <v>126</v>
      </c>
      <c r="C5" s="1">
        <v>104</v>
      </c>
      <c r="D5" s="1">
        <v>88</v>
      </c>
      <c r="E5" s="1">
        <v>83</v>
      </c>
      <c r="F5" s="1">
        <v>83</v>
      </c>
      <c r="G5" s="1">
        <v>80</v>
      </c>
    </row>
    <row r="6" spans="1:7" x14ac:dyDescent="0.3">
      <c r="A6" s="1">
        <v>4</v>
      </c>
      <c r="B6" s="1">
        <v>128</v>
      </c>
      <c r="C6" s="1">
        <v>115</v>
      </c>
      <c r="D6" s="1">
        <v>93</v>
      </c>
      <c r="E6" s="1">
        <v>87</v>
      </c>
      <c r="F6" s="1">
        <v>84</v>
      </c>
      <c r="G6" s="1">
        <v>80</v>
      </c>
    </row>
    <row r="7" spans="1:7" x14ac:dyDescent="0.3">
      <c r="A7" s="1">
        <v>5</v>
      </c>
      <c r="B7" s="1">
        <v>133</v>
      </c>
      <c r="C7" s="1">
        <v>119</v>
      </c>
      <c r="D7" s="1">
        <v>94</v>
      </c>
      <c r="E7" s="1">
        <v>96</v>
      </c>
      <c r="F7" s="1">
        <v>90</v>
      </c>
      <c r="G7" s="1">
        <v>81</v>
      </c>
    </row>
    <row r="8" spans="1:7" x14ac:dyDescent="0.3">
      <c r="A8" s="1">
        <v>6</v>
      </c>
      <c r="B8" s="1">
        <v>141</v>
      </c>
      <c r="C8" s="1">
        <v>122</v>
      </c>
      <c r="D8" s="1">
        <v>101</v>
      </c>
      <c r="E8" s="1">
        <v>97</v>
      </c>
      <c r="F8" s="1">
        <v>96</v>
      </c>
      <c r="G8" s="1">
        <v>82</v>
      </c>
    </row>
    <row r="9" spans="1:7" x14ac:dyDescent="0.3">
      <c r="A9" s="1">
        <v>7</v>
      </c>
      <c r="B9" s="1">
        <v>147</v>
      </c>
      <c r="C9" s="1">
        <v>128</v>
      </c>
      <c r="D9" s="1">
        <v>102</v>
      </c>
      <c r="E9" s="1">
        <v>106</v>
      </c>
      <c r="F9" s="1">
        <v>101</v>
      </c>
      <c r="G9" s="1">
        <v>86</v>
      </c>
    </row>
    <row r="10" spans="1:7" x14ac:dyDescent="0.3">
      <c r="A10" s="1">
        <v>8</v>
      </c>
      <c r="B10" s="1">
        <v>148</v>
      </c>
      <c r="C10" s="1">
        <v>146</v>
      </c>
      <c r="D10" s="1">
        <v>105</v>
      </c>
      <c r="E10" s="1">
        <v>127</v>
      </c>
      <c r="F10" s="1">
        <v>111</v>
      </c>
      <c r="G10" s="1">
        <v>99</v>
      </c>
    </row>
    <row r="11" spans="1:7" ht="15.6" x14ac:dyDescent="0.35">
      <c r="A11" s="5" t="s">
        <v>9</v>
      </c>
      <c r="B11" s="1">
        <v>128</v>
      </c>
      <c r="C11" s="1">
        <v>116</v>
      </c>
      <c r="D11" s="1">
        <v>93</v>
      </c>
      <c r="E11" s="1">
        <v>93</v>
      </c>
      <c r="F11" s="1">
        <v>89</v>
      </c>
      <c r="G11" s="1">
        <v>81</v>
      </c>
    </row>
    <row r="12" spans="1:7" x14ac:dyDescent="0.3">
      <c r="A12" t="s">
        <v>34</v>
      </c>
      <c r="B12">
        <f>B11-100</f>
        <v>28</v>
      </c>
      <c r="C12">
        <f t="shared" ref="C12:G12" si="0">C11-100</f>
        <v>16</v>
      </c>
      <c r="D12">
        <f t="shared" si="0"/>
        <v>-7</v>
      </c>
      <c r="E12">
        <f t="shared" si="0"/>
        <v>-7</v>
      </c>
      <c r="F12">
        <f t="shared" si="0"/>
        <v>-11</v>
      </c>
      <c r="G12">
        <f t="shared" si="0"/>
        <v>-19</v>
      </c>
    </row>
    <row r="13" spans="1:7" x14ac:dyDescent="0.3">
      <c r="A13" t="s">
        <v>10</v>
      </c>
    </row>
    <row r="15" spans="1:7" ht="15" thickBot="1" x14ac:dyDescent="0.35">
      <c r="A15" t="s">
        <v>11</v>
      </c>
    </row>
    <row r="16" spans="1:7" x14ac:dyDescent="0.3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</row>
    <row r="17" spans="1:7" x14ac:dyDescent="0.3">
      <c r="A17" s="2" t="s">
        <v>17</v>
      </c>
      <c r="B17" s="2">
        <v>8</v>
      </c>
      <c r="C17" s="2">
        <v>1024</v>
      </c>
      <c r="D17" s="2">
        <v>128</v>
      </c>
      <c r="E17" s="2">
        <v>353.14285714285717</v>
      </c>
    </row>
    <row r="18" spans="1:7" x14ac:dyDescent="0.3">
      <c r="A18" s="2" t="s">
        <v>18</v>
      </c>
      <c r="B18" s="2">
        <v>8</v>
      </c>
      <c r="C18" s="2">
        <v>928</v>
      </c>
      <c r="D18" s="2">
        <v>116</v>
      </c>
      <c r="E18" s="2">
        <v>286.57142857142856</v>
      </c>
    </row>
    <row r="19" spans="1:7" x14ac:dyDescent="0.3">
      <c r="A19" s="2" t="s">
        <v>19</v>
      </c>
      <c r="B19" s="2">
        <v>8</v>
      </c>
      <c r="C19" s="2">
        <v>744</v>
      </c>
      <c r="D19" s="2">
        <v>93</v>
      </c>
      <c r="E19" s="2">
        <v>101.71428571428571</v>
      </c>
    </row>
    <row r="20" spans="1:7" x14ac:dyDescent="0.3">
      <c r="A20" s="2" t="s">
        <v>20</v>
      </c>
      <c r="B20" s="2">
        <v>8</v>
      </c>
      <c r="C20" s="2">
        <v>744</v>
      </c>
      <c r="D20" s="2">
        <v>93</v>
      </c>
      <c r="E20" s="2">
        <v>325.71428571428572</v>
      </c>
    </row>
    <row r="21" spans="1:7" x14ac:dyDescent="0.3">
      <c r="A21" s="2" t="s">
        <v>21</v>
      </c>
      <c r="B21" s="2">
        <v>8</v>
      </c>
      <c r="C21" s="2">
        <v>712</v>
      </c>
      <c r="D21" s="2">
        <v>89</v>
      </c>
      <c r="E21" s="2">
        <v>200</v>
      </c>
    </row>
    <row r="22" spans="1:7" ht="15" thickBot="1" x14ac:dyDescent="0.35">
      <c r="A22" s="3" t="s">
        <v>22</v>
      </c>
      <c r="B22" s="3">
        <v>8</v>
      </c>
      <c r="C22" s="3">
        <v>648</v>
      </c>
      <c r="D22" s="3">
        <v>81</v>
      </c>
      <c r="E22" s="3">
        <v>85.142857142857139</v>
      </c>
    </row>
    <row r="25" spans="1:7" ht="15" thickBot="1" x14ac:dyDescent="0.35">
      <c r="A25" t="s">
        <v>23</v>
      </c>
    </row>
    <row r="26" spans="1:7" x14ac:dyDescent="0.3">
      <c r="A26" s="4" t="s">
        <v>24</v>
      </c>
      <c r="B26" s="4" t="s">
        <v>25</v>
      </c>
      <c r="C26" s="4" t="s">
        <v>26</v>
      </c>
      <c r="D26" s="4" t="s">
        <v>27</v>
      </c>
      <c r="E26" s="4" t="s">
        <v>28</v>
      </c>
      <c r="F26" s="4" t="s">
        <v>29</v>
      </c>
      <c r="G26" s="4" t="s">
        <v>30</v>
      </c>
    </row>
    <row r="27" spans="1:7" x14ac:dyDescent="0.3">
      <c r="A27" s="2" t="s">
        <v>31</v>
      </c>
      <c r="B27" s="2">
        <v>12960</v>
      </c>
      <c r="C27" s="2">
        <v>5</v>
      </c>
      <c r="D27" s="2">
        <v>2592</v>
      </c>
      <c r="E27" s="2">
        <v>11.500528206211705</v>
      </c>
      <c r="F27" s="2">
        <v>4.9568665440467216E-7</v>
      </c>
      <c r="G27" s="2">
        <v>3.4882348638582661</v>
      </c>
    </row>
    <row r="28" spans="1:7" x14ac:dyDescent="0.3">
      <c r="A28" s="2" t="s">
        <v>32</v>
      </c>
      <c r="B28" s="2">
        <v>9466</v>
      </c>
      <c r="C28" s="2">
        <v>42</v>
      </c>
      <c r="D28" s="2">
        <v>225.38095238095238</v>
      </c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ht="15" thickBot="1" x14ac:dyDescent="0.35">
      <c r="A30" s="3" t="s">
        <v>33</v>
      </c>
      <c r="B30" s="3">
        <v>22426</v>
      </c>
      <c r="C30" s="3">
        <v>47</v>
      </c>
      <c r="D30" s="3"/>
      <c r="E30" s="3"/>
      <c r="F30" s="3"/>
      <c r="G30" s="3"/>
    </row>
    <row r="32" spans="1:7" x14ac:dyDescent="0.3">
      <c r="A32" t="s">
        <v>44</v>
      </c>
    </row>
    <row r="33" spans="1:14" x14ac:dyDescent="0.3">
      <c r="A33" s="7" t="s">
        <v>0</v>
      </c>
      <c r="B33" s="6"/>
      <c r="C33" s="6"/>
      <c r="D33" s="6"/>
      <c r="E33" s="6"/>
      <c r="F33" s="6"/>
      <c r="G33" s="6"/>
      <c r="H33" s="7"/>
      <c r="I33" s="7"/>
      <c r="J33" s="7"/>
      <c r="K33" s="7"/>
      <c r="L33" s="7"/>
      <c r="M33" s="7"/>
      <c r="N33" s="7"/>
    </row>
    <row r="34" spans="1:14" ht="15.6" x14ac:dyDescent="0.35">
      <c r="A34" s="7" t="s">
        <v>35</v>
      </c>
      <c r="B34" s="7">
        <v>1</v>
      </c>
      <c r="C34" s="7">
        <v>2</v>
      </c>
      <c r="D34" s="7">
        <v>3</v>
      </c>
      <c r="E34" s="7">
        <v>4</v>
      </c>
      <c r="F34" s="7">
        <v>5</v>
      </c>
      <c r="G34" s="7">
        <v>6</v>
      </c>
      <c r="H34" s="7">
        <v>7</v>
      </c>
      <c r="I34" s="7">
        <v>8</v>
      </c>
      <c r="J34" s="7">
        <v>9</v>
      </c>
      <c r="K34" s="7">
        <v>10</v>
      </c>
      <c r="L34" s="7">
        <v>11</v>
      </c>
      <c r="M34" s="7">
        <v>12</v>
      </c>
      <c r="N34" s="7">
        <v>13</v>
      </c>
    </row>
    <row r="35" spans="1:14" ht="15.6" x14ac:dyDescent="0.35">
      <c r="A35" s="7" t="s">
        <v>36</v>
      </c>
      <c r="B35" s="7">
        <v>6</v>
      </c>
      <c r="C35" s="7">
        <v>3</v>
      </c>
      <c r="D35" s="7">
        <v>4</v>
      </c>
      <c r="E35" s="7">
        <v>2</v>
      </c>
      <c r="F35" s="7">
        <v>1</v>
      </c>
      <c r="G35" s="7">
        <v>10</v>
      </c>
      <c r="H35" s="7">
        <v>7</v>
      </c>
      <c r="I35" s="7">
        <v>8</v>
      </c>
      <c r="J35" s="7">
        <v>9</v>
      </c>
      <c r="K35" s="7">
        <v>5</v>
      </c>
      <c r="L35" s="7">
        <v>11</v>
      </c>
      <c r="M35" s="7">
        <v>13</v>
      </c>
      <c r="N35" s="7">
        <v>12</v>
      </c>
    </row>
    <row r="36" spans="1:14" x14ac:dyDescent="0.3">
      <c r="A36" s="8" t="s">
        <v>37</v>
      </c>
      <c r="B36" s="9">
        <f>CORREL(B34:N34,B35:N35)</f>
        <v>0.75274725274725274</v>
      </c>
    </row>
    <row r="38" spans="1:14" x14ac:dyDescent="0.3">
      <c r="A38" s="10"/>
      <c r="B38" s="16"/>
      <c r="C38" s="16"/>
      <c r="D38" s="16"/>
      <c r="E38" s="16"/>
      <c r="F38" s="16"/>
      <c r="G38" s="16"/>
      <c r="H38" s="16"/>
      <c r="I38" s="16"/>
      <c r="J38" s="16"/>
    </row>
    <row r="39" spans="1:14" x14ac:dyDescent="0.3">
      <c r="A39" s="11" t="s">
        <v>45</v>
      </c>
      <c r="B39" s="10"/>
      <c r="C39" s="10"/>
      <c r="D39" s="10"/>
      <c r="E39" s="10"/>
      <c r="F39" s="10"/>
      <c r="G39" s="10"/>
      <c r="H39" s="10"/>
      <c r="I39" s="10"/>
      <c r="J39" s="10"/>
    </row>
    <row r="40" spans="1:14" x14ac:dyDescent="0.3">
      <c r="A40" s="12" t="s">
        <v>0</v>
      </c>
      <c r="B40" s="16" t="s">
        <v>38</v>
      </c>
      <c r="C40" s="16"/>
      <c r="D40" s="16"/>
      <c r="E40" s="16"/>
      <c r="F40" s="16"/>
      <c r="G40" s="16"/>
      <c r="H40" s="16"/>
      <c r="I40" s="16"/>
      <c r="J40" s="16"/>
    </row>
    <row r="41" spans="1:14" ht="15.6" x14ac:dyDescent="0.35">
      <c r="A41" s="12" t="s">
        <v>39</v>
      </c>
      <c r="B41" s="12">
        <v>5</v>
      </c>
      <c r="C41" s="12">
        <v>10</v>
      </c>
      <c r="D41" s="12">
        <v>15</v>
      </c>
      <c r="E41" s="12">
        <v>20</v>
      </c>
      <c r="F41" s="12">
        <v>25</v>
      </c>
      <c r="G41" s="12">
        <v>30</v>
      </c>
      <c r="H41" s="12">
        <v>35</v>
      </c>
      <c r="I41" s="12">
        <v>40</v>
      </c>
      <c r="J41" s="12" t="s">
        <v>40</v>
      </c>
    </row>
    <row r="42" spans="1:14" x14ac:dyDescent="0.3">
      <c r="A42" s="12">
        <v>100</v>
      </c>
      <c r="B42" s="13">
        <v>2</v>
      </c>
      <c r="C42" s="13">
        <v>1</v>
      </c>
      <c r="D42" s="13" t="s">
        <v>41</v>
      </c>
      <c r="E42" s="13" t="s">
        <v>41</v>
      </c>
      <c r="F42" s="13" t="s">
        <v>41</v>
      </c>
      <c r="G42" s="13" t="s">
        <v>41</v>
      </c>
      <c r="H42" s="13" t="s">
        <v>41</v>
      </c>
      <c r="I42" s="13" t="s">
        <v>41</v>
      </c>
      <c r="J42" s="12">
        <v>3</v>
      </c>
    </row>
    <row r="43" spans="1:14" x14ac:dyDescent="0.3">
      <c r="A43" s="12">
        <v>120</v>
      </c>
      <c r="B43" s="13">
        <v>3</v>
      </c>
      <c r="C43" s="13">
        <v>4</v>
      </c>
      <c r="D43" s="13">
        <v>3</v>
      </c>
      <c r="E43" s="13" t="s">
        <v>41</v>
      </c>
      <c r="F43" s="13" t="s">
        <v>41</v>
      </c>
      <c r="G43" s="13" t="s">
        <v>41</v>
      </c>
      <c r="H43" s="13" t="s">
        <v>41</v>
      </c>
      <c r="I43" s="13" t="s">
        <v>41</v>
      </c>
      <c r="J43" s="12">
        <v>10</v>
      </c>
    </row>
    <row r="44" spans="1:14" x14ac:dyDescent="0.3">
      <c r="A44" s="12">
        <v>140</v>
      </c>
      <c r="B44" s="13" t="s">
        <v>41</v>
      </c>
      <c r="C44" s="13" t="s">
        <v>41</v>
      </c>
      <c r="D44" s="13">
        <v>5</v>
      </c>
      <c r="E44" s="13">
        <v>10</v>
      </c>
      <c r="F44" s="13">
        <v>8</v>
      </c>
      <c r="G44" s="13" t="s">
        <v>41</v>
      </c>
      <c r="H44" s="13" t="s">
        <v>41</v>
      </c>
      <c r="I44" s="13" t="s">
        <v>41</v>
      </c>
      <c r="J44" s="12">
        <v>23</v>
      </c>
    </row>
    <row r="45" spans="1:14" x14ac:dyDescent="0.3">
      <c r="A45" s="12">
        <v>160</v>
      </c>
      <c r="B45" s="13" t="s">
        <v>41</v>
      </c>
      <c r="C45" s="13" t="s">
        <v>41</v>
      </c>
      <c r="D45" s="13" t="s">
        <v>41</v>
      </c>
      <c r="E45" s="13">
        <v>1</v>
      </c>
      <c r="F45" s="13" t="s">
        <v>41</v>
      </c>
      <c r="G45" s="13">
        <v>6</v>
      </c>
      <c r="H45" s="13">
        <v>1</v>
      </c>
      <c r="I45" s="13">
        <v>1</v>
      </c>
      <c r="J45" s="12">
        <v>9</v>
      </c>
    </row>
    <row r="46" spans="1:14" x14ac:dyDescent="0.3">
      <c r="A46" s="12">
        <v>180</v>
      </c>
      <c r="B46" s="13" t="s">
        <v>41</v>
      </c>
      <c r="C46" s="13" t="s">
        <v>41</v>
      </c>
      <c r="D46" s="13" t="s">
        <v>41</v>
      </c>
      <c r="E46" s="13" t="s">
        <v>41</v>
      </c>
      <c r="F46" s="13" t="s">
        <v>41</v>
      </c>
      <c r="G46" s="13" t="s">
        <v>41</v>
      </c>
      <c r="H46" s="13">
        <v>4</v>
      </c>
      <c r="I46" s="13">
        <v>1</v>
      </c>
      <c r="J46" s="12">
        <v>5</v>
      </c>
    </row>
    <row r="47" spans="1:14" ht="15.6" x14ac:dyDescent="0.35">
      <c r="A47" s="12" t="s">
        <v>42</v>
      </c>
      <c r="B47" s="13">
        <v>5</v>
      </c>
      <c r="C47" s="13">
        <v>5</v>
      </c>
      <c r="D47" s="13">
        <v>8</v>
      </c>
      <c r="E47" s="13">
        <v>11</v>
      </c>
      <c r="F47" s="13">
        <v>8</v>
      </c>
      <c r="G47" s="13">
        <v>6</v>
      </c>
      <c r="H47" s="13">
        <v>5</v>
      </c>
      <c r="I47" s="13">
        <v>2</v>
      </c>
      <c r="J47" s="12" t="s">
        <v>43</v>
      </c>
    </row>
    <row r="49" spans="1:9" x14ac:dyDescent="0.3">
      <c r="A49" t="s">
        <v>39</v>
      </c>
      <c r="B49" s="8" t="s">
        <v>38</v>
      </c>
    </row>
    <row r="50" spans="1:9" x14ac:dyDescent="0.3">
      <c r="A50">
        <v>100</v>
      </c>
      <c r="B50">
        <v>5</v>
      </c>
      <c r="D50" t="s">
        <v>46</v>
      </c>
    </row>
    <row r="51" spans="1:9" ht="15" thickBot="1" x14ac:dyDescent="0.35">
      <c r="A51">
        <v>100</v>
      </c>
      <c r="B51">
        <v>5</v>
      </c>
    </row>
    <row r="52" spans="1:9" x14ac:dyDescent="0.3">
      <c r="A52">
        <v>100</v>
      </c>
      <c r="B52">
        <v>10</v>
      </c>
      <c r="D52" s="14" t="s">
        <v>47</v>
      </c>
      <c r="E52" s="14"/>
    </row>
    <row r="53" spans="1:9" x14ac:dyDescent="0.3">
      <c r="A53">
        <v>120</v>
      </c>
      <c r="B53">
        <v>5</v>
      </c>
      <c r="D53" s="2" t="s">
        <v>48</v>
      </c>
      <c r="E53" s="2">
        <v>0.90335855041180912</v>
      </c>
    </row>
    <row r="54" spans="1:9" x14ac:dyDescent="0.3">
      <c r="A54">
        <v>120</v>
      </c>
      <c r="B54">
        <v>5</v>
      </c>
      <c r="D54" s="2" t="s">
        <v>49</v>
      </c>
      <c r="E54" s="2">
        <v>0.81605667060212506</v>
      </c>
    </row>
    <row r="55" spans="1:9" x14ac:dyDescent="0.3">
      <c r="A55">
        <v>120</v>
      </c>
      <c r="B55">
        <v>5</v>
      </c>
      <c r="D55" s="2" t="s">
        <v>50</v>
      </c>
      <c r="E55" s="2">
        <v>0.81222451790633599</v>
      </c>
    </row>
    <row r="56" spans="1:9" x14ac:dyDescent="0.3">
      <c r="A56">
        <v>120</v>
      </c>
      <c r="B56">
        <v>10</v>
      </c>
      <c r="D56" s="2" t="s">
        <v>51</v>
      </c>
      <c r="E56" s="2">
        <v>8.8260976654464969</v>
      </c>
    </row>
    <row r="57" spans="1:9" ht="15" thickBot="1" x14ac:dyDescent="0.35">
      <c r="A57">
        <v>120</v>
      </c>
      <c r="B57">
        <v>10</v>
      </c>
      <c r="D57" s="3" t="s">
        <v>52</v>
      </c>
      <c r="E57" s="3">
        <v>50</v>
      </c>
    </row>
    <row r="58" spans="1:9" x14ac:dyDescent="0.3">
      <c r="A58">
        <v>120</v>
      </c>
      <c r="B58">
        <v>10</v>
      </c>
    </row>
    <row r="59" spans="1:9" ht="15" thickBot="1" x14ac:dyDescent="0.35">
      <c r="A59">
        <v>120</v>
      </c>
      <c r="B59">
        <v>10</v>
      </c>
      <c r="D59" t="s">
        <v>23</v>
      </c>
    </row>
    <row r="60" spans="1:9" x14ac:dyDescent="0.3">
      <c r="A60">
        <v>120</v>
      </c>
      <c r="B60">
        <v>15</v>
      </c>
      <c r="D60" s="4"/>
      <c r="E60" s="4" t="s">
        <v>26</v>
      </c>
      <c r="F60" s="4" t="s">
        <v>25</v>
      </c>
      <c r="G60" s="4" t="s">
        <v>27</v>
      </c>
      <c r="H60" s="4" t="s">
        <v>28</v>
      </c>
      <c r="I60" s="4" t="s">
        <v>56</v>
      </c>
    </row>
    <row r="61" spans="1:9" x14ac:dyDescent="0.3">
      <c r="A61">
        <v>120</v>
      </c>
      <c r="B61">
        <v>15</v>
      </c>
      <c r="D61" s="2" t="s">
        <v>53</v>
      </c>
      <c r="E61" s="2">
        <v>1</v>
      </c>
      <c r="F61" s="2">
        <v>16588.80000000001</v>
      </c>
      <c r="G61" s="2">
        <v>16588.80000000001</v>
      </c>
      <c r="H61" s="2">
        <v>212.94993581514746</v>
      </c>
      <c r="I61" s="2">
        <v>2.8423484220400378E-19</v>
      </c>
    </row>
    <row r="62" spans="1:9" x14ac:dyDescent="0.3">
      <c r="A62">
        <v>120</v>
      </c>
      <c r="B62">
        <v>15</v>
      </c>
      <c r="D62" s="2" t="s">
        <v>54</v>
      </c>
      <c r="E62" s="2">
        <v>48</v>
      </c>
      <c r="F62" s="2">
        <v>3739.2000000000053</v>
      </c>
      <c r="G62" s="2">
        <v>77.900000000000105</v>
      </c>
      <c r="H62" s="2"/>
      <c r="I62" s="2"/>
    </row>
    <row r="63" spans="1:9" ht="15" thickBot="1" x14ac:dyDescent="0.35">
      <c r="A63">
        <v>140</v>
      </c>
      <c r="B63">
        <v>15</v>
      </c>
      <c r="D63" s="3" t="s">
        <v>33</v>
      </c>
      <c r="E63" s="3">
        <v>49</v>
      </c>
      <c r="F63" s="3">
        <v>20328.000000000015</v>
      </c>
      <c r="G63" s="3"/>
      <c r="H63" s="3"/>
      <c r="I63" s="3"/>
    </row>
    <row r="64" spans="1:9" ht="15" thickBot="1" x14ac:dyDescent="0.35">
      <c r="A64">
        <v>140</v>
      </c>
      <c r="B64">
        <v>15</v>
      </c>
    </row>
    <row r="65" spans="1:12" x14ac:dyDescent="0.3">
      <c r="A65">
        <v>140</v>
      </c>
      <c r="B65">
        <v>15</v>
      </c>
      <c r="D65" s="4"/>
      <c r="E65" s="4" t="s">
        <v>57</v>
      </c>
      <c r="F65" s="4" t="s">
        <v>51</v>
      </c>
      <c r="G65" s="4" t="s">
        <v>58</v>
      </c>
      <c r="H65" s="4" t="s">
        <v>29</v>
      </c>
      <c r="I65" s="4" t="s">
        <v>59</v>
      </c>
      <c r="J65" s="4" t="s">
        <v>60</v>
      </c>
      <c r="K65" s="4" t="s">
        <v>61</v>
      </c>
      <c r="L65" s="4" t="s">
        <v>62</v>
      </c>
    </row>
    <row r="66" spans="1:12" x14ac:dyDescent="0.3">
      <c r="A66">
        <v>140</v>
      </c>
      <c r="B66">
        <v>15</v>
      </c>
      <c r="D66" s="2" t="s">
        <v>55</v>
      </c>
      <c r="E66" s="2">
        <v>100.87999999999995</v>
      </c>
      <c r="F66" s="2">
        <v>3.031864113049926</v>
      </c>
      <c r="G66" s="2">
        <v>33.273259037496565</v>
      </c>
      <c r="H66" s="2">
        <v>8.2173102483774125E-35</v>
      </c>
      <c r="I66" s="2">
        <v>94.784028633908207</v>
      </c>
      <c r="J66" s="2">
        <v>106.9759713660917</v>
      </c>
      <c r="K66" s="2">
        <v>94.784028633908207</v>
      </c>
      <c r="L66" s="2">
        <v>106.9759713660917</v>
      </c>
    </row>
    <row r="67" spans="1:12" ht="15" thickBot="1" x14ac:dyDescent="0.35">
      <c r="A67">
        <v>140</v>
      </c>
      <c r="B67">
        <v>15</v>
      </c>
      <c r="D67" s="3" t="s">
        <v>63</v>
      </c>
      <c r="E67" s="3">
        <v>1.9200000000000017</v>
      </c>
      <c r="F67" s="3">
        <v>0.13157169570660376</v>
      </c>
      <c r="G67" s="3">
        <v>14.592804247818433</v>
      </c>
      <c r="H67" s="3">
        <v>2.8423484220399771E-19</v>
      </c>
      <c r="I67" s="3">
        <v>1.6554573754927453</v>
      </c>
      <c r="J67" s="3">
        <v>2.1845426245072579</v>
      </c>
      <c r="K67" s="3">
        <v>1.6554573754927453</v>
      </c>
      <c r="L67" s="3">
        <v>2.1845426245072579</v>
      </c>
    </row>
    <row r="68" spans="1:12" x14ac:dyDescent="0.3">
      <c r="A68">
        <v>140</v>
      </c>
      <c r="B68">
        <v>20</v>
      </c>
    </row>
    <row r="69" spans="1:12" x14ac:dyDescent="0.3">
      <c r="A69">
        <v>140</v>
      </c>
      <c r="B69">
        <v>20</v>
      </c>
    </row>
    <row r="70" spans="1:12" x14ac:dyDescent="0.3">
      <c r="A70">
        <v>140</v>
      </c>
      <c r="B70">
        <v>20</v>
      </c>
    </row>
    <row r="71" spans="1:12" x14ac:dyDescent="0.3">
      <c r="A71">
        <v>140</v>
      </c>
      <c r="B71">
        <v>20</v>
      </c>
    </row>
    <row r="72" spans="1:12" x14ac:dyDescent="0.3">
      <c r="A72">
        <v>140</v>
      </c>
      <c r="B72">
        <v>20</v>
      </c>
    </row>
    <row r="73" spans="1:12" x14ac:dyDescent="0.3">
      <c r="A73">
        <v>140</v>
      </c>
      <c r="B73">
        <v>20</v>
      </c>
    </row>
    <row r="74" spans="1:12" x14ac:dyDescent="0.3">
      <c r="A74">
        <v>140</v>
      </c>
      <c r="B74">
        <v>20</v>
      </c>
    </row>
    <row r="75" spans="1:12" x14ac:dyDescent="0.3">
      <c r="A75">
        <v>140</v>
      </c>
      <c r="B75">
        <v>20</v>
      </c>
    </row>
    <row r="76" spans="1:12" x14ac:dyDescent="0.3">
      <c r="A76">
        <v>140</v>
      </c>
      <c r="B76">
        <v>20</v>
      </c>
    </row>
    <row r="77" spans="1:12" x14ac:dyDescent="0.3">
      <c r="A77">
        <v>140</v>
      </c>
      <c r="B77">
        <v>20</v>
      </c>
    </row>
    <row r="78" spans="1:12" x14ac:dyDescent="0.3">
      <c r="A78">
        <v>140</v>
      </c>
      <c r="B78">
        <v>25</v>
      </c>
    </row>
    <row r="79" spans="1:12" x14ac:dyDescent="0.3">
      <c r="A79">
        <v>140</v>
      </c>
      <c r="B79">
        <v>25</v>
      </c>
    </row>
    <row r="80" spans="1:12" x14ac:dyDescent="0.3">
      <c r="A80">
        <v>140</v>
      </c>
      <c r="B80">
        <v>25</v>
      </c>
    </row>
    <row r="81" spans="1:2" x14ac:dyDescent="0.3">
      <c r="A81">
        <v>140</v>
      </c>
      <c r="B81">
        <v>25</v>
      </c>
    </row>
    <row r="82" spans="1:2" x14ac:dyDescent="0.3">
      <c r="A82">
        <v>140</v>
      </c>
      <c r="B82">
        <v>25</v>
      </c>
    </row>
    <row r="83" spans="1:2" x14ac:dyDescent="0.3">
      <c r="A83">
        <v>140</v>
      </c>
      <c r="B83">
        <v>25</v>
      </c>
    </row>
    <row r="84" spans="1:2" x14ac:dyDescent="0.3">
      <c r="A84">
        <v>140</v>
      </c>
      <c r="B84">
        <v>25</v>
      </c>
    </row>
    <row r="85" spans="1:2" x14ac:dyDescent="0.3">
      <c r="A85">
        <v>140</v>
      </c>
      <c r="B85">
        <v>25</v>
      </c>
    </row>
    <row r="86" spans="1:2" x14ac:dyDescent="0.3">
      <c r="A86">
        <v>160</v>
      </c>
      <c r="B86">
        <v>20</v>
      </c>
    </row>
    <row r="87" spans="1:2" x14ac:dyDescent="0.3">
      <c r="A87">
        <v>160</v>
      </c>
      <c r="B87">
        <v>30</v>
      </c>
    </row>
    <row r="88" spans="1:2" x14ac:dyDescent="0.3">
      <c r="A88">
        <v>160</v>
      </c>
      <c r="B88">
        <v>30</v>
      </c>
    </row>
    <row r="89" spans="1:2" x14ac:dyDescent="0.3">
      <c r="A89">
        <v>160</v>
      </c>
      <c r="B89">
        <v>30</v>
      </c>
    </row>
    <row r="90" spans="1:2" x14ac:dyDescent="0.3">
      <c r="A90">
        <v>160</v>
      </c>
      <c r="B90">
        <v>30</v>
      </c>
    </row>
    <row r="91" spans="1:2" x14ac:dyDescent="0.3">
      <c r="A91">
        <v>160</v>
      </c>
      <c r="B91">
        <v>30</v>
      </c>
    </row>
    <row r="92" spans="1:2" x14ac:dyDescent="0.3">
      <c r="A92">
        <v>160</v>
      </c>
      <c r="B92">
        <v>30</v>
      </c>
    </row>
    <row r="93" spans="1:2" x14ac:dyDescent="0.3">
      <c r="A93">
        <v>160</v>
      </c>
      <c r="B93">
        <v>35</v>
      </c>
    </row>
    <row r="94" spans="1:2" x14ac:dyDescent="0.3">
      <c r="A94">
        <v>160</v>
      </c>
      <c r="B94">
        <v>40</v>
      </c>
    </row>
    <row r="95" spans="1:2" x14ac:dyDescent="0.3">
      <c r="A95">
        <v>180</v>
      </c>
      <c r="B95">
        <v>35</v>
      </c>
    </row>
    <row r="96" spans="1:2" x14ac:dyDescent="0.3">
      <c r="A96">
        <v>180</v>
      </c>
      <c r="B96">
        <v>35</v>
      </c>
    </row>
    <row r="97" spans="1:2" x14ac:dyDescent="0.3">
      <c r="A97">
        <v>180</v>
      </c>
      <c r="B97">
        <v>35</v>
      </c>
    </row>
    <row r="98" spans="1:2" x14ac:dyDescent="0.3">
      <c r="A98">
        <v>180</v>
      </c>
      <c r="B98">
        <v>35</v>
      </c>
    </row>
    <row r="99" spans="1:2" x14ac:dyDescent="0.3">
      <c r="A99">
        <v>180</v>
      </c>
      <c r="B99">
        <v>40</v>
      </c>
    </row>
  </sheetData>
  <mergeCells count="3">
    <mergeCell ref="B1:G1"/>
    <mergeCell ref="B38:J38"/>
    <mergeCell ref="B40:J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Лера Ивличева</dc:creator>
  <cp:lastModifiedBy>Лера Ивличева</cp:lastModifiedBy>
  <dcterms:created xsi:type="dcterms:W3CDTF">2024-09-17T08:58:41Z</dcterms:created>
  <dcterms:modified xsi:type="dcterms:W3CDTF">2024-09-17T18:57:11Z</dcterms:modified>
</cp:coreProperties>
</file>