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ecb1f40dd0f0c1a8/Рабочий стол/лабы сдад/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8" i="1"/>
  <c r="I24" i="1" a="1"/>
  <c r="I24" i="1" s="1"/>
  <c r="I17" i="1" a="1"/>
  <c r="I17" i="1" s="1"/>
  <c r="K13" i="1"/>
  <c r="K3" i="1"/>
  <c r="I60" i="1"/>
  <c r="I59" i="1"/>
  <c r="I58" i="1"/>
  <c r="I57" i="1"/>
  <c r="I56" i="1"/>
  <c r="I55" i="1"/>
  <c r="I54" i="1"/>
  <c r="I40" i="1"/>
  <c r="I39" i="1"/>
  <c r="I38" i="1"/>
  <c r="I37" i="1"/>
  <c r="I27" i="1" l="1"/>
  <c r="I26" i="1"/>
  <c r="I25" i="1"/>
  <c r="I20" i="1"/>
  <c r="I19" i="1"/>
  <c r="I18" i="1"/>
  <c r="J32" i="1"/>
  <c r="J33" i="1"/>
  <c r="J34" i="1"/>
  <c r="J31" i="1"/>
  <c r="J25" i="1"/>
  <c r="J26" i="1"/>
  <c r="J27" i="1"/>
  <c r="J24" i="1"/>
  <c r="I31" i="1" a="1"/>
  <c r="I31" i="1" s="1"/>
  <c r="J19" i="1"/>
  <c r="K14" i="1"/>
  <c r="K4" i="1"/>
  <c r="I32" i="1" l="1"/>
  <c r="I34" i="1"/>
  <c r="I33" i="1"/>
  <c r="J20" i="1"/>
  <c r="J18" i="1"/>
  <c r="J17" i="1"/>
</calcChain>
</file>

<file path=xl/sharedStrings.xml><?xml version="1.0" encoding="utf-8"?>
<sst xmlns="http://schemas.openxmlformats.org/spreadsheetml/2006/main" count="93" uniqueCount="61">
  <si>
    <t>Вариант 1</t>
  </si>
  <si>
    <t>Товар</t>
  </si>
  <si>
    <t>Категория</t>
  </si>
  <si>
    <t>Цена (руб)</t>
  </si>
  <si>
    <t>Количество</t>
  </si>
  <si>
    <t>Поставщик</t>
  </si>
  <si>
    <t>Скидка (%)</t>
  </si>
  <si>
    <t>Хлеб</t>
  </si>
  <si>
    <t>Продукты</t>
  </si>
  <si>
    <t>Пекарня №1</t>
  </si>
  <si>
    <t>Молоко</t>
  </si>
  <si>
    <t>Молзавод</t>
  </si>
  <si>
    <t>Сыр</t>
  </si>
  <si>
    <t>Яблоки</t>
  </si>
  <si>
    <t>Фрукты</t>
  </si>
  <si>
    <t>Фермеры</t>
  </si>
  <si>
    <t>Шоколад</t>
  </si>
  <si>
    <t>Сладости</t>
  </si>
  <si>
    <t>КонфетыКо</t>
  </si>
  <si>
    <t>Кофе</t>
  </si>
  <si>
    <t>Напитки</t>
  </si>
  <si>
    <t>КофеИнк</t>
  </si>
  <si>
    <t>Чай</t>
  </si>
  <si>
    <t>ЧайнаяКо</t>
  </si>
  <si>
    <t>Вода</t>
  </si>
  <si>
    <t>ВодныйМир</t>
  </si>
  <si>
    <t>Печенье</t>
  </si>
  <si>
    <t>Бананы</t>
  </si>
  <si>
    <t>Качественные данные</t>
  </si>
  <si>
    <t>Количественные данные</t>
  </si>
  <si>
    <t>Цена(руб)</t>
  </si>
  <si>
    <t>Скидка(%)</t>
  </si>
  <si>
    <t>Формула Стерджесса для цены</t>
  </si>
  <si>
    <t>Формула Стерджесса для количества</t>
  </si>
  <si>
    <t>Формула Стерджесса для скидки</t>
  </si>
  <si>
    <t>Кол-во интервалов</t>
  </si>
  <si>
    <t>Величина интервала</t>
  </si>
  <si>
    <t>Интервалы цены</t>
  </si>
  <si>
    <t>Абсолютная частота цены</t>
  </si>
  <si>
    <t>Относительная частота цены</t>
  </si>
  <si>
    <t>Меньше</t>
  </si>
  <si>
    <t>Абсолютная частота количества</t>
  </si>
  <si>
    <t>Относительная частота количества</t>
  </si>
  <si>
    <t>Интервалы количества</t>
  </si>
  <si>
    <t>Интервалы скидки</t>
  </si>
  <si>
    <t>Абсолютная частота скидки</t>
  </si>
  <si>
    <t>Относительная частота скидки</t>
  </si>
  <si>
    <t>0-6</t>
  </si>
  <si>
    <t>7-13</t>
  </si>
  <si>
    <t>14-20</t>
  </si>
  <si>
    <t>21-27</t>
  </si>
  <si>
    <t xml:space="preserve">Поставщик </t>
  </si>
  <si>
    <t>Категории</t>
  </si>
  <si>
    <t>40-130</t>
  </si>
  <si>
    <t>131-221</t>
  </si>
  <si>
    <t>222-312</t>
  </si>
  <si>
    <t>313-403</t>
  </si>
  <si>
    <t>30-148</t>
  </si>
  <si>
    <t>149-267</t>
  </si>
  <si>
    <t>268-386</t>
  </si>
  <si>
    <t>387-505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</si>
</sst>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Border="1"/>
    <xf numFmtId="49" fontId="0" fillId="0" borderId="0" xfId="0" applyNumberFormat="1"/>
    <xf numFmtId="10" fontId="0" fillId="0" borderId="0" xfId="0" applyNumberFormat="1"/>
    <xf numFmtId="1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Категории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Лист1!$H$37:$H$41</c:f>
              <c:strCache>
                <c:ptCount val="4"/>
                <c:pt idx="0">
                  <c:v>Продукты</c:v>
                </c:pt>
                <c:pt idx="1">
                  <c:v>Фрукты</c:v>
                </c:pt>
                <c:pt idx="2">
                  <c:v>Сладости</c:v>
                </c:pt>
                <c:pt idx="3">
                  <c:v>Напитки</c:v>
                </c:pt>
              </c:strCache>
            </c:strRef>
          </c:cat>
          <c:val>
            <c:numRef>
              <c:f>Лист1!$I$37:$I$41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6-43B9-9E89-EF943DA10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Поставщики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Лист1!$H$54:$H$60</c:f>
              <c:strCache>
                <c:ptCount val="7"/>
                <c:pt idx="0">
                  <c:v>Пекарня №1</c:v>
                </c:pt>
                <c:pt idx="1">
                  <c:v>Молзавод</c:v>
                </c:pt>
                <c:pt idx="2">
                  <c:v>Фермеры</c:v>
                </c:pt>
                <c:pt idx="3">
                  <c:v>КонфетыКо</c:v>
                </c:pt>
                <c:pt idx="4">
                  <c:v>КофеИнк</c:v>
                </c:pt>
                <c:pt idx="5">
                  <c:v>ЧайнаяКо</c:v>
                </c:pt>
                <c:pt idx="6">
                  <c:v>ВодныйМир</c:v>
                </c:pt>
              </c:strCache>
            </c:strRef>
          </c:cat>
          <c:val>
            <c:numRef>
              <c:f>Лист1!$I$54:$I$60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F-490C-A613-F9BAF975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Лист1!$I$16</c:f>
              <c:strCache>
                <c:ptCount val="1"/>
                <c:pt idx="0">
                  <c:v>Абсолютная частота цены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Лист1!$H$17:$H$20</c:f>
              <c:strCache>
                <c:ptCount val="4"/>
                <c:pt idx="0">
                  <c:v>40-130</c:v>
                </c:pt>
                <c:pt idx="1">
                  <c:v>131-221</c:v>
                </c:pt>
                <c:pt idx="2">
                  <c:v>222-312</c:v>
                </c:pt>
                <c:pt idx="3">
                  <c:v>313-403</c:v>
                </c:pt>
              </c:strCache>
            </c:strRef>
          </c:cat>
          <c:val>
            <c:numRef>
              <c:f>Лист1!$I$17:$I$20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E-4261-B7EE-F41E6E1BE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756776"/>
        <c:axId val="475456760"/>
      </c:barChart>
      <c:catAx>
        <c:axId val="59575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456760"/>
        <c:crosses val="autoZero"/>
        <c:auto val="1"/>
        <c:lblAlgn val="ctr"/>
        <c:lblOffset val="100"/>
        <c:noMultiLvlLbl val="0"/>
      </c:catAx>
      <c:valAx>
        <c:axId val="47545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5756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Лист1!$H$24:$H$27</c:f>
              <c:strCache>
                <c:ptCount val="4"/>
                <c:pt idx="0">
                  <c:v>30-148</c:v>
                </c:pt>
                <c:pt idx="1">
                  <c:v>149-267</c:v>
                </c:pt>
                <c:pt idx="2">
                  <c:v>268-386</c:v>
                </c:pt>
                <c:pt idx="3">
                  <c:v>387-505</c:v>
                </c:pt>
              </c:strCache>
            </c:strRef>
          </c:cat>
          <c:val>
            <c:numRef>
              <c:f>Лист1!$I$24:$I$27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E-49F7-BD01-D02FD207C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000040"/>
        <c:axId val="604262840"/>
      </c:barChart>
      <c:catAx>
        <c:axId val="47700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262840"/>
        <c:crosses val="autoZero"/>
        <c:auto val="1"/>
        <c:lblAlgn val="ctr"/>
        <c:lblOffset val="100"/>
        <c:noMultiLvlLbl val="0"/>
      </c:catAx>
      <c:valAx>
        <c:axId val="60426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700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Скидка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Лист1!$H$31:$H$34</c:f>
              <c:strCache>
                <c:ptCount val="4"/>
                <c:pt idx="0">
                  <c:v>0-6</c:v>
                </c:pt>
                <c:pt idx="1">
                  <c:v>7-13</c:v>
                </c:pt>
                <c:pt idx="2">
                  <c:v>14-20</c:v>
                </c:pt>
                <c:pt idx="3">
                  <c:v>21-27</c:v>
                </c:pt>
              </c:strCache>
            </c:strRef>
          </c:cat>
          <c:val>
            <c:numRef>
              <c:f>Лист1!$I$31:$I$34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1-4AB3-AF01-6A4F27F6C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163680"/>
        <c:axId val="588164336"/>
      </c:barChart>
      <c:catAx>
        <c:axId val="58816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8164336"/>
        <c:crosses val="autoZero"/>
        <c:auto val="1"/>
        <c:lblAlgn val="ctr"/>
        <c:lblOffset val="100"/>
        <c:noMultiLvlLbl val="0"/>
      </c:catAx>
      <c:valAx>
        <c:axId val="58816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816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</xdr:colOff>
      <xdr:row>34</xdr:row>
      <xdr:rowOff>148590</xdr:rowOff>
    </xdr:from>
    <xdr:to>
      <xdr:col>11</xdr:col>
      <xdr:colOff>594360</xdr:colOff>
      <xdr:row>49</xdr:row>
      <xdr:rowOff>148590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</xdr:colOff>
      <xdr:row>51</xdr:row>
      <xdr:rowOff>26670</xdr:rowOff>
    </xdr:from>
    <xdr:to>
      <xdr:col>11</xdr:col>
      <xdr:colOff>594360</xdr:colOff>
      <xdr:row>66</xdr:row>
      <xdr:rowOff>26670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205740</xdr:colOff>
      <xdr:row>13</xdr:row>
      <xdr:rowOff>57150</xdr:rowOff>
    </xdr:from>
    <xdr:to>
      <xdr:col>5</xdr:col>
      <xdr:colOff>510540</xdr:colOff>
      <xdr:row>28</xdr:row>
      <xdr:rowOff>57150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304800</xdr:colOff>
      <xdr:row>28</xdr:row>
      <xdr:rowOff>156210</xdr:rowOff>
    </xdr:from>
    <xdr:to>
      <xdr:col>5</xdr:col>
      <xdr:colOff>609600</xdr:colOff>
      <xdr:row>43</xdr:row>
      <xdr:rowOff>156210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327660</xdr:colOff>
      <xdr:row>44</xdr:row>
      <xdr:rowOff>148590</xdr:rowOff>
    </xdr:from>
    <xdr:to>
      <xdr:col>5</xdr:col>
      <xdr:colOff>632460</xdr:colOff>
      <xdr:row>59</xdr:row>
      <xdr:rowOff>148590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topLeftCell="H13" workbookViewId="0">
      <selection activeCell="S31" sqref="S31"/>
    </sheetView>
  </sheetViews>
  <sheetFormatPr defaultRowHeight="14.4" x14ac:dyDescent="0.3"/>
  <cols>
    <col min="1" max="1" width="15.6640625" bestFit="1" customWidth="1"/>
    <col min="2" max="2" width="23.77734375" bestFit="1" customWidth="1"/>
    <col min="3" max="3" width="15.77734375" customWidth="1"/>
    <col min="4" max="4" width="11" bestFit="1" customWidth="1"/>
    <col min="5" max="5" width="11.6640625" bestFit="1" customWidth="1"/>
    <col min="6" max="6" width="10.109375" bestFit="1" customWidth="1"/>
    <col min="8" max="8" width="20.5546875" customWidth="1"/>
    <col min="9" max="9" width="23.77734375" bestFit="1" customWidth="1"/>
    <col min="10" max="10" width="25.109375" customWidth="1"/>
    <col min="11" max="12" width="33.6640625" bestFit="1" customWidth="1"/>
  </cols>
  <sheetData>
    <row r="1" spans="1:11" ht="18" x14ac:dyDescent="0.35">
      <c r="A1" s="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28</v>
      </c>
      <c r="I2" t="s">
        <v>29</v>
      </c>
      <c r="J2" s="2"/>
      <c r="K2" s="2" t="s">
        <v>32</v>
      </c>
    </row>
    <row r="3" spans="1:11" x14ac:dyDescent="0.3">
      <c r="A3" t="s">
        <v>7</v>
      </c>
      <c r="B3" t="s">
        <v>8</v>
      </c>
      <c r="C3">
        <v>40</v>
      </c>
      <c r="D3">
        <v>100</v>
      </c>
      <c r="E3" t="s">
        <v>9</v>
      </c>
      <c r="F3">
        <v>5</v>
      </c>
      <c r="H3" t="s">
        <v>1</v>
      </c>
      <c r="I3" t="s">
        <v>30</v>
      </c>
      <c r="J3" s="2" t="s">
        <v>35</v>
      </c>
      <c r="K3" s="5">
        <f>ROUNDDOWN(1+LOG(10,10)/LOG(2,10),0)</f>
        <v>4</v>
      </c>
    </row>
    <row r="4" spans="1:11" x14ac:dyDescent="0.3">
      <c r="A4" t="s">
        <v>10</v>
      </c>
      <c r="B4" t="s">
        <v>8</v>
      </c>
      <c r="C4">
        <v>60</v>
      </c>
      <c r="D4">
        <v>200</v>
      </c>
      <c r="E4" t="s">
        <v>11</v>
      </c>
      <c r="F4">
        <v>10</v>
      </c>
      <c r="H4" t="s">
        <v>2</v>
      </c>
      <c r="I4" t="s">
        <v>4</v>
      </c>
      <c r="J4" s="2" t="s">
        <v>36</v>
      </c>
      <c r="K4" s="5">
        <f>(MAX(C3:C12)-MIN(C3:C12))/K3</f>
        <v>90</v>
      </c>
    </row>
    <row r="5" spans="1:11" x14ac:dyDescent="0.3">
      <c r="A5" t="s">
        <v>12</v>
      </c>
      <c r="B5" t="s">
        <v>8</v>
      </c>
      <c r="C5">
        <v>300</v>
      </c>
      <c r="D5">
        <v>50</v>
      </c>
      <c r="E5" t="s">
        <v>11</v>
      </c>
      <c r="F5">
        <v>15</v>
      </c>
      <c r="H5" t="s">
        <v>5</v>
      </c>
      <c r="I5" t="s">
        <v>31</v>
      </c>
    </row>
    <row r="6" spans="1:11" x14ac:dyDescent="0.3">
      <c r="A6" t="s">
        <v>13</v>
      </c>
      <c r="B6" t="s">
        <v>14</v>
      </c>
      <c r="C6">
        <v>100</v>
      </c>
      <c r="D6">
        <v>150</v>
      </c>
      <c r="E6" t="s">
        <v>15</v>
      </c>
      <c r="F6">
        <v>0</v>
      </c>
    </row>
    <row r="7" spans="1:11" x14ac:dyDescent="0.3">
      <c r="A7" t="s">
        <v>16</v>
      </c>
      <c r="B7" t="s">
        <v>17</v>
      </c>
      <c r="C7">
        <v>150</v>
      </c>
      <c r="D7">
        <v>80</v>
      </c>
      <c r="E7" t="s">
        <v>18</v>
      </c>
      <c r="F7">
        <v>20</v>
      </c>
      <c r="J7" s="2"/>
      <c r="K7" s="2" t="s">
        <v>33</v>
      </c>
    </row>
    <row r="8" spans="1:11" x14ac:dyDescent="0.3">
      <c r="A8" t="s">
        <v>19</v>
      </c>
      <c r="B8" t="s">
        <v>20</v>
      </c>
      <c r="C8">
        <v>400</v>
      </c>
      <c r="D8">
        <v>30</v>
      </c>
      <c r="E8" t="s">
        <v>21</v>
      </c>
      <c r="F8">
        <v>25</v>
      </c>
      <c r="J8" s="2" t="s">
        <v>35</v>
      </c>
      <c r="K8" s="5">
        <f>ROUNDDOWN(1+LOG(10,10)/LOG(2,10),0)</f>
        <v>4</v>
      </c>
    </row>
    <row r="9" spans="1:11" x14ac:dyDescent="0.3">
      <c r="A9" t="s">
        <v>22</v>
      </c>
      <c r="B9" t="s">
        <v>20</v>
      </c>
      <c r="C9">
        <v>200</v>
      </c>
      <c r="D9">
        <v>60</v>
      </c>
      <c r="E9" t="s">
        <v>23</v>
      </c>
      <c r="F9">
        <v>10</v>
      </c>
      <c r="J9" s="2" t="s">
        <v>36</v>
      </c>
      <c r="K9" s="5">
        <f>(MAX(D3:D12)-MIN(D3:D12))/K8</f>
        <v>117.5</v>
      </c>
    </row>
    <row r="10" spans="1:11" x14ac:dyDescent="0.3">
      <c r="A10" t="s">
        <v>24</v>
      </c>
      <c r="B10" t="s">
        <v>20</v>
      </c>
      <c r="C10">
        <v>50</v>
      </c>
      <c r="D10">
        <v>500</v>
      </c>
      <c r="E10" t="s">
        <v>25</v>
      </c>
      <c r="F10">
        <v>5</v>
      </c>
    </row>
    <row r="11" spans="1:11" x14ac:dyDescent="0.3">
      <c r="A11" t="s">
        <v>26</v>
      </c>
      <c r="B11" t="s">
        <v>17</v>
      </c>
      <c r="C11">
        <v>120</v>
      </c>
      <c r="D11">
        <v>90</v>
      </c>
      <c r="E11" t="s">
        <v>18</v>
      </c>
      <c r="F11">
        <v>15</v>
      </c>
    </row>
    <row r="12" spans="1:11" x14ac:dyDescent="0.3">
      <c r="A12" t="s">
        <v>27</v>
      </c>
      <c r="B12" t="s">
        <v>14</v>
      </c>
      <c r="C12">
        <v>80</v>
      </c>
      <c r="D12">
        <v>120</v>
      </c>
      <c r="E12" t="s">
        <v>15</v>
      </c>
      <c r="F12">
        <v>0</v>
      </c>
      <c r="J12" s="2"/>
      <c r="K12" s="2" t="s">
        <v>34</v>
      </c>
    </row>
    <row r="13" spans="1:11" x14ac:dyDescent="0.3">
      <c r="J13" s="2" t="s">
        <v>35</v>
      </c>
      <c r="K13" s="5">
        <f>ROUNDDOWN(1+LOG(10,10)/LOG(2,10),0)</f>
        <v>4</v>
      </c>
    </row>
    <row r="14" spans="1:11" x14ac:dyDescent="0.3">
      <c r="J14" s="2" t="s">
        <v>36</v>
      </c>
      <c r="K14" s="5">
        <f>(MAX(F3:F12)-MIN(F3:F12))/K13</f>
        <v>6.25</v>
      </c>
    </row>
    <row r="16" spans="1:11" x14ac:dyDescent="0.3">
      <c r="H16" t="s">
        <v>37</v>
      </c>
      <c r="I16" t="s">
        <v>38</v>
      </c>
      <c r="J16" t="s">
        <v>39</v>
      </c>
      <c r="K16" t="s">
        <v>40</v>
      </c>
    </row>
    <row r="17" spans="8:11" x14ac:dyDescent="0.3">
      <c r="H17" t="s">
        <v>53</v>
      </c>
      <c r="I17">
        <f t="array" ref="I17:I20">FREQUENCY(C3:C12,K17:K20)</f>
        <v>6</v>
      </c>
      <c r="J17" s="4">
        <f>(I17/10)*100%</f>
        <v>0.6</v>
      </c>
      <c r="K17">
        <v>130</v>
      </c>
    </row>
    <row r="18" spans="8:11" x14ac:dyDescent="0.3">
      <c r="H18" t="s">
        <v>54</v>
      </c>
      <c r="I18">
        <v>2</v>
      </c>
      <c r="J18" s="4">
        <f t="shared" ref="J18:J21" si="0">(I18/10)*100%</f>
        <v>0.2</v>
      </c>
      <c r="K18">
        <v>221</v>
      </c>
    </row>
    <row r="19" spans="8:11" x14ac:dyDescent="0.3">
      <c r="H19" t="s">
        <v>55</v>
      </c>
      <c r="I19">
        <v>1</v>
      </c>
      <c r="J19" s="4">
        <f t="shared" si="0"/>
        <v>0.1</v>
      </c>
      <c r="K19">
        <v>312</v>
      </c>
    </row>
    <row r="20" spans="8:11" x14ac:dyDescent="0.3">
      <c r="H20" t="s">
        <v>56</v>
      </c>
      <c r="I20">
        <v>1</v>
      </c>
      <c r="J20" s="4">
        <f t="shared" si="0"/>
        <v>0.1</v>
      </c>
      <c r="K20">
        <v>403</v>
      </c>
    </row>
    <row r="21" spans="8:11" x14ac:dyDescent="0.3">
      <c r="J21" s="4"/>
    </row>
    <row r="23" spans="8:11" x14ac:dyDescent="0.3">
      <c r="H23" t="s">
        <v>43</v>
      </c>
      <c r="I23" t="s">
        <v>41</v>
      </c>
      <c r="J23" t="s">
        <v>42</v>
      </c>
      <c r="K23" t="s">
        <v>40</v>
      </c>
    </row>
    <row r="24" spans="8:11" x14ac:dyDescent="0.3">
      <c r="H24" t="s">
        <v>57</v>
      </c>
      <c r="I24">
        <f t="array" ref="I24:I27">FREQUENCY(D3:D12,K24:K27)</f>
        <v>7</v>
      </c>
      <c r="J24" s="4">
        <f>I24/10*100%</f>
        <v>0.7</v>
      </c>
      <c r="K24">
        <v>148</v>
      </c>
    </row>
    <row r="25" spans="8:11" x14ac:dyDescent="0.3">
      <c r="H25" t="s">
        <v>58</v>
      </c>
      <c r="I25">
        <v>2</v>
      </c>
      <c r="J25" s="4">
        <f t="shared" ref="J25:J28" si="1">I25/10*100%</f>
        <v>0.2</v>
      </c>
      <c r="K25">
        <v>267</v>
      </c>
    </row>
    <row r="26" spans="8:11" x14ac:dyDescent="0.3">
      <c r="H26" t="s">
        <v>59</v>
      </c>
      <c r="I26">
        <v>0</v>
      </c>
      <c r="J26" s="4">
        <f t="shared" si="1"/>
        <v>0</v>
      </c>
      <c r="K26">
        <v>386</v>
      </c>
    </row>
    <row r="27" spans="8:11" x14ac:dyDescent="0.3">
      <c r="H27" t="s">
        <v>60</v>
      </c>
      <c r="I27">
        <v>1</v>
      </c>
      <c r="J27" s="4">
        <f t="shared" si="1"/>
        <v>0.1</v>
      </c>
      <c r="K27">
        <v>505</v>
      </c>
    </row>
    <row r="28" spans="8:11" x14ac:dyDescent="0.3">
      <c r="J28" s="4"/>
    </row>
    <row r="30" spans="8:11" x14ac:dyDescent="0.3">
      <c r="H30" t="s">
        <v>44</v>
      </c>
      <c r="I30" t="s">
        <v>45</v>
      </c>
      <c r="J30" t="s">
        <v>46</v>
      </c>
      <c r="K30" t="s">
        <v>40</v>
      </c>
    </row>
    <row r="31" spans="8:11" x14ac:dyDescent="0.3">
      <c r="H31" t="s">
        <v>47</v>
      </c>
      <c r="I31">
        <f t="array" ref="I31:I34">FREQUENCY(F3:F12,K31:K34)</f>
        <v>4</v>
      </c>
      <c r="J31" s="4">
        <f>I31/10*100%</f>
        <v>0.4</v>
      </c>
      <c r="K31">
        <v>6</v>
      </c>
    </row>
    <row r="32" spans="8:11" x14ac:dyDescent="0.3">
      <c r="H32" s="3" t="s">
        <v>48</v>
      </c>
      <c r="I32">
        <v>2</v>
      </c>
      <c r="J32" s="4">
        <f t="shared" ref="J32:J34" si="2">I32/10*100%</f>
        <v>0.2</v>
      </c>
      <c r="K32">
        <v>13</v>
      </c>
    </row>
    <row r="33" spans="8:11" x14ac:dyDescent="0.3">
      <c r="H33" t="s">
        <v>49</v>
      </c>
      <c r="I33">
        <v>3</v>
      </c>
      <c r="J33" s="4">
        <f t="shared" si="2"/>
        <v>0.3</v>
      </c>
      <c r="K33">
        <v>20</v>
      </c>
    </row>
    <row r="34" spans="8:11" x14ac:dyDescent="0.3">
      <c r="H34" t="s">
        <v>50</v>
      </c>
      <c r="I34">
        <v>1</v>
      </c>
      <c r="J34" s="4">
        <f t="shared" si="2"/>
        <v>0.1</v>
      </c>
      <c r="K34">
        <v>27</v>
      </c>
    </row>
    <row r="36" spans="8:11" x14ac:dyDescent="0.3">
      <c r="H36" t="s">
        <v>52</v>
      </c>
      <c r="I36" t="s">
        <v>4</v>
      </c>
    </row>
    <row r="37" spans="8:11" x14ac:dyDescent="0.3">
      <c r="H37" t="s">
        <v>8</v>
      </c>
      <c r="I37">
        <f>COUNTIF($B$3:$B$12,"Продукты")</f>
        <v>3</v>
      </c>
    </row>
    <row r="38" spans="8:11" x14ac:dyDescent="0.3">
      <c r="H38" t="s">
        <v>14</v>
      </c>
      <c r="I38">
        <f>COUNTIF($B$3:$B$12,"Фрукты")</f>
        <v>2</v>
      </c>
    </row>
    <row r="39" spans="8:11" x14ac:dyDescent="0.3">
      <c r="H39" t="s">
        <v>17</v>
      </c>
      <c r="I39">
        <f>COUNTIF($B$3:$B$12,"Сладости")</f>
        <v>2</v>
      </c>
    </row>
    <row r="40" spans="8:11" x14ac:dyDescent="0.3">
      <c r="H40" t="s">
        <v>20</v>
      </c>
      <c r="I40">
        <f>COUNTIF($B$3:$B$12,"Напитки")</f>
        <v>3</v>
      </c>
    </row>
    <row r="53" spans="8:9" x14ac:dyDescent="0.3">
      <c r="H53" t="s">
        <v>51</v>
      </c>
      <c r="I53" t="s">
        <v>4</v>
      </c>
    </row>
    <row r="54" spans="8:9" x14ac:dyDescent="0.3">
      <c r="H54" t="s">
        <v>9</v>
      </c>
      <c r="I54">
        <f>COUNTIF($E$3:$E$12,"Пекарня №1")</f>
        <v>1</v>
      </c>
    </row>
    <row r="55" spans="8:9" x14ac:dyDescent="0.3">
      <c r="H55" t="s">
        <v>11</v>
      </c>
      <c r="I55">
        <f>COUNTIF($E$3:$E$12,"Молзавод")</f>
        <v>2</v>
      </c>
    </row>
    <row r="56" spans="8:9" x14ac:dyDescent="0.3">
      <c r="H56" t="s">
        <v>15</v>
      </c>
      <c r="I56">
        <f>COUNTIF($E$3:$E$12,"Фермеры")</f>
        <v>2</v>
      </c>
    </row>
    <row r="57" spans="8:9" x14ac:dyDescent="0.3">
      <c r="H57" t="s">
        <v>18</v>
      </c>
      <c r="I57">
        <f>COUNTIF($E$3:$E$12,"КонфетыКо")</f>
        <v>2</v>
      </c>
    </row>
    <row r="58" spans="8:9" x14ac:dyDescent="0.3">
      <c r="H58" t="s">
        <v>21</v>
      </c>
      <c r="I58">
        <f>COUNTIF($E$3:$E$12,"КофеИнк")</f>
        <v>1</v>
      </c>
    </row>
    <row r="59" spans="8:9" x14ac:dyDescent="0.3">
      <c r="H59" t="s">
        <v>23</v>
      </c>
      <c r="I59">
        <f>COUNTIF($E$3:$E$12,"ЧайнаяКо")</f>
        <v>1</v>
      </c>
    </row>
    <row r="60" spans="8:9" x14ac:dyDescent="0.3">
      <c r="H60" t="s">
        <v>25</v>
      </c>
      <c r="I60">
        <f>COUNTIF($E$3:$E$12,"ВодныйМир")</f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Лера Ивличева</dc:creator>
  <cp:lastModifiedBy>Лера Ивличева</cp:lastModifiedBy>
  <dcterms:created xsi:type="dcterms:W3CDTF">2024-09-11T19:39:57Z</dcterms:created>
  <dcterms:modified xsi:type="dcterms:W3CDTF">2024-09-15T19:22:24Z</dcterms:modified>
</cp:coreProperties>
</file>